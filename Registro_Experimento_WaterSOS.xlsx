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SC_A\OneDrive\Documentos\Escuela\Investigacion\Titulaciones de Investigacion y Tesis\Nicazio Tesis\"/>
    </mc:Choice>
  </mc:AlternateContent>
  <xr:revisionPtr revIDLastSave="0" documentId="13_ncr:1_{C2D7FAFC-BEF5-497D-857E-5AE360A11071}" xr6:coauthVersionLast="47" xr6:coauthVersionMax="47" xr10:uidLastSave="{00000000-0000-0000-0000-000000000000}"/>
  <bookViews>
    <workbookView xWindow="-120" yWindow="-120" windowWidth="29040" windowHeight="15720" tabRatio="500" activeTab="2" xr2:uid="{00000000-000D-0000-FFFF-FFFF00000000}"/>
  </bookViews>
  <sheets>
    <sheet name="Instrucciones" sheetId="1" r:id="rId1"/>
    <sheet name="Modelo_Amenazas" sheetId="2" r:id="rId2"/>
    <sheet name="Matriz_Casos_Prueba" sheetId="3" r:id="rId3"/>
    <sheet name="Bitacora_Iteraciones" sheetId="4" r:id="rId4"/>
    <sheet name="Resultados_Finales" sheetId="5" r:id="rId5"/>
    <sheet name="Costos" sheetId="6" r:id="rId6"/>
    <sheet name="Clasificacion_Tipos_Fallo" sheetId="7" r:id="rId7"/>
    <sheet name="Resumen_Metrica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11" i="7" l="1"/>
  <c r="D10" i="7"/>
  <c r="D9" i="7"/>
  <c r="D8" i="7"/>
  <c r="D7" i="7"/>
  <c r="D6" i="7"/>
  <c r="D5" i="7"/>
  <c r="D4" i="7"/>
  <c r="G5" i="6"/>
  <c r="C11" i="8" s="1"/>
  <c r="G4" i="6"/>
  <c r="B11" i="8" s="1"/>
  <c r="I87" i="5"/>
  <c r="H87" i="5"/>
  <c r="G87" i="5"/>
  <c r="D87" i="5"/>
  <c r="I86" i="5"/>
  <c r="H86" i="5"/>
  <c r="G86" i="5"/>
  <c r="D86" i="5"/>
  <c r="I85" i="5"/>
  <c r="H85" i="5"/>
  <c r="G85" i="5"/>
  <c r="D85" i="5"/>
  <c r="I84" i="5"/>
  <c r="H84" i="5"/>
  <c r="G84" i="5"/>
  <c r="D84" i="5"/>
  <c r="I83" i="5"/>
  <c r="H83" i="5"/>
  <c r="G83" i="5"/>
  <c r="D83" i="5"/>
  <c r="I82" i="5"/>
  <c r="H82" i="5"/>
  <c r="G82" i="5"/>
  <c r="D82" i="5"/>
  <c r="I81" i="5"/>
  <c r="H81" i="5"/>
  <c r="G81" i="5"/>
  <c r="D81" i="5"/>
  <c r="I80" i="5"/>
  <c r="H80" i="5"/>
  <c r="G80" i="5"/>
  <c r="D80" i="5"/>
  <c r="I79" i="5"/>
  <c r="H79" i="5"/>
  <c r="G79" i="5"/>
  <c r="D79" i="5"/>
  <c r="I78" i="5"/>
  <c r="H78" i="5"/>
  <c r="G78" i="5"/>
  <c r="D78" i="5"/>
  <c r="I77" i="5"/>
  <c r="H77" i="5"/>
  <c r="G77" i="5"/>
  <c r="D77" i="5"/>
  <c r="I76" i="5"/>
  <c r="H76" i="5"/>
  <c r="G76" i="5"/>
  <c r="D76" i="5"/>
  <c r="I75" i="5"/>
  <c r="H75" i="5"/>
  <c r="G75" i="5"/>
  <c r="D75" i="5"/>
  <c r="I74" i="5"/>
  <c r="H74" i="5"/>
  <c r="G74" i="5"/>
  <c r="D74" i="5"/>
  <c r="I73" i="5"/>
  <c r="H73" i="5"/>
  <c r="G73" i="5"/>
  <c r="D73" i="5"/>
  <c r="I72" i="5"/>
  <c r="H72" i="5"/>
  <c r="G72" i="5"/>
  <c r="D72" i="5"/>
  <c r="I71" i="5"/>
  <c r="H71" i="5"/>
  <c r="G71" i="5"/>
  <c r="D71" i="5"/>
  <c r="I70" i="5"/>
  <c r="H70" i="5"/>
  <c r="G70" i="5"/>
  <c r="D70" i="5"/>
  <c r="I69" i="5"/>
  <c r="H69" i="5"/>
  <c r="G69" i="5"/>
  <c r="D69" i="5"/>
  <c r="I68" i="5"/>
  <c r="H68" i="5"/>
  <c r="G68" i="5"/>
  <c r="D68" i="5"/>
  <c r="I67" i="5"/>
  <c r="H67" i="5"/>
  <c r="G67" i="5"/>
  <c r="D67" i="5"/>
  <c r="I66" i="5"/>
  <c r="H66" i="5"/>
  <c r="G66" i="5"/>
  <c r="D66" i="5"/>
  <c r="I65" i="5"/>
  <c r="H65" i="5"/>
  <c r="G65" i="5"/>
  <c r="D65" i="5"/>
  <c r="I64" i="5"/>
  <c r="H64" i="5"/>
  <c r="G64" i="5"/>
  <c r="D64" i="5"/>
  <c r="I63" i="5"/>
  <c r="H63" i="5"/>
  <c r="G63" i="5"/>
  <c r="D63" i="5"/>
  <c r="I62" i="5"/>
  <c r="H62" i="5"/>
  <c r="G62" i="5"/>
  <c r="D62" i="5"/>
  <c r="I61" i="5"/>
  <c r="H61" i="5"/>
  <c r="G61" i="5"/>
  <c r="D61" i="5"/>
  <c r="I60" i="5"/>
  <c r="H60" i="5"/>
  <c r="G60" i="5"/>
  <c r="D60" i="5"/>
  <c r="I59" i="5"/>
  <c r="H59" i="5"/>
  <c r="G59" i="5"/>
  <c r="D59" i="5"/>
  <c r="I58" i="5"/>
  <c r="H58" i="5"/>
  <c r="G58" i="5"/>
  <c r="D58" i="5"/>
  <c r="I57" i="5"/>
  <c r="H57" i="5"/>
  <c r="G57" i="5"/>
  <c r="D57" i="5"/>
  <c r="I56" i="5"/>
  <c r="H56" i="5"/>
  <c r="G56" i="5"/>
  <c r="D56" i="5"/>
  <c r="I55" i="5"/>
  <c r="H55" i="5"/>
  <c r="G55" i="5"/>
  <c r="D55" i="5"/>
  <c r="I54" i="5"/>
  <c r="H54" i="5"/>
  <c r="G54" i="5"/>
  <c r="D54" i="5"/>
  <c r="I53" i="5"/>
  <c r="H53" i="5"/>
  <c r="G53" i="5"/>
  <c r="D53" i="5"/>
  <c r="I52" i="5"/>
  <c r="H52" i="5"/>
  <c r="G52" i="5"/>
  <c r="D52" i="5"/>
  <c r="I51" i="5"/>
  <c r="H51" i="5"/>
  <c r="G51" i="5"/>
  <c r="D51" i="5"/>
  <c r="I50" i="5"/>
  <c r="H50" i="5"/>
  <c r="G50" i="5"/>
  <c r="D50" i="5"/>
  <c r="I49" i="5"/>
  <c r="H49" i="5"/>
  <c r="G49" i="5"/>
  <c r="D49" i="5"/>
  <c r="I48" i="5"/>
  <c r="H48" i="5"/>
  <c r="G48" i="5"/>
  <c r="D48" i="5"/>
  <c r="I47" i="5"/>
  <c r="H47" i="5"/>
  <c r="G47" i="5"/>
  <c r="D47" i="5"/>
  <c r="I46" i="5"/>
  <c r="H46" i="5"/>
  <c r="G46" i="5"/>
  <c r="D46" i="5"/>
  <c r="I45" i="5"/>
  <c r="H45" i="5"/>
  <c r="G45" i="5"/>
  <c r="D45" i="5"/>
  <c r="I44" i="5"/>
  <c r="H44" i="5"/>
  <c r="G44" i="5"/>
  <c r="D44" i="5"/>
  <c r="I43" i="5"/>
  <c r="H43" i="5"/>
  <c r="G43" i="5"/>
  <c r="D43" i="5"/>
  <c r="I42" i="5"/>
  <c r="H42" i="5"/>
  <c r="G42" i="5"/>
  <c r="D42" i="5"/>
  <c r="I41" i="5"/>
  <c r="H41" i="5"/>
  <c r="G41" i="5"/>
  <c r="D41" i="5"/>
  <c r="I40" i="5"/>
  <c r="H40" i="5"/>
  <c r="G40" i="5"/>
  <c r="D40" i="5"/>
  <c r="I39" i="5"/>
  <c r="H39" i="5"/>
  <c r="G39" i="5"/>
  <c r="D39" i="5"/>
  <c r="I38" i="5"/>
  <c r="H38" i="5"/>
  <c r="G38" i="5"/>
  <c r="D38" i="5"/>
  <c r="I37" i="5"/>
  <c r="H37" i="5"/>
  <c r="G37" i="5"/>
  <c r="D37" i="5"/>
  <c r="I36" i="5"/>
  <c r="H36" i="5"/>
  <c r="G36" i="5"/>
  <c r="D36" i="5"/>
  <c r="I35" i="5"/>
  <c r="H35" i="5"/>
  <c r="G35" i="5"/>
  <c r="D35" i="5"/>
  <c r="I34" i="5"/>
  <c r="H34" i="5"/>
  <c r="G34" i="5"/>
  <c r="D34" i="5"/>
  <c r="I33" i="5"/>
  <c r="H33" i="5"/>
  <c r="G33" i="5"/>
  <c r="D33" i="5"/>
  <c r="I32" i="5"/>
  <c r="H32" i="5"/>
  <c r="G32" i="5"/>
  <c r="D32" i="5"/>
  <c r="I31" i="5"/>
  <c r="H31" i="5"/>
  <c r="G31" i="5"/>
  <c r="D31" i="5"/>
  <c r="I30" i="5"/>
  <c r="H30" i="5"/>
  <c r="G30" i="5"/>
  <c r="D30" i="5"/>
  <c r="I29" i="5"/>
  <c r="H29" i="5"/>
  <c r="G29" i="5"/>
  <c r="D29" i="5"/>
  <c r="I28" i="5"/>
  <c r="H28" i="5"/>
  <c r="G28" i="5"/>
  <c r="D28" i="5"/>
  <c r="I27" i="5"/>
  <c r="H27" i="5"/>
  <c r="G27" i="5"/>
  <c r="D27" i="5"/>
  <c r="I26" i="5"/>
  <c r="H26" i="5"/>
  <c r="G26" i="5"/>
  <c r="D26" i="5"/>
  <c r="I25" i="5"/>
  <c r="H25" i="5"/>
  <c r="G25" i="5"/>
  <c r="D25" i="5"/>
  <c r="I24" i="5"/>
  <c r="H24" i="5"/>
  <c r="G24" i="5"/>
  <c r="D24" i="5"/>
  <c r="I23" i="5"/>
  <c r="H23" i="5"/>
  <c r="G23" i="5"/>
  <c r="D23" i="5"/>
  <c r="I22" i="5"/>
  <c r="H22" i="5"/>
  <c r="G22" i="5"/>
  <c r="D22" i="5"/>
  <c r="I21" i="5"/>
  <c r="H21" i="5"/>
  <c r="G21" i="5"/>
  <c r="D21" i="5"/>
  <c r="I20" i="5"/>
  <c r="H20" i="5"/>
  <c r="G20" i="5"/>
  <c r="D20" i="5"/>
  <c r="I19" i="5"/>
  <c r="H19" i="5"/>
  <c r="G19" i="5"/>
  <c r="D19" i="5"/>
  <c r="I18" i="5"/>
  <c r="H18" i="5"/>
  <c r="G18" i="5"/>
  <c r="D18" i="5"/>
  <c r="I17" i="5"/>
  <c r="H17" i="5"/>
  <c r="G17" i="5"/>
  <c r="D17" i="5"/>
  <c r="I16" i="5"/>
  <c r="H16" i="5"/>
  <c r="G16" i="5"/>
  <c r="D16" i="5"/>
  <c r="I15" i="5"/>
  <c r="H15" i="5"/>
  <c r="G15" i="5"/>
  <c r="D15" i="5"/>
  <c r="I14" i="5"/>
  <c r="H14" i="5"/>
  <c r="G14" i="5"/>
  <c r="D14" i="5"/>
  <c r="I13" i="5"/>
  <c r="H13" i="5"/>
  <c r="G13" i="5"/>
  <c r="D13" i="5"/>
  <c r="I12" i="5"/>
  <c r="H12" i="5"/>
  <c r="G12" i="5"/>
  <c r="D12" i="5"/>
  <c r="I11" i="5"/>
  <c r="H11" i="5"/>
  <c r="G11" i="5"/>
  <c r="D11" i="5"/>
  <c r="I10" i="5"/>
  <c r="H10" i="5"/>
  <c r="G10" i="5"/>
  <c r="D10" i="5"/>
  <c r="I9" i="5"/>
  <c r="H9" i="5"/>
  <c r="G9" i="5"/>
  <c r="D9" i="5"/>
  <c r="I8" i="5"/>
  <c r="H8" i="5"/>
  <c r="G8" i="5"/>
  <c r="D8" i="5"/>
  <c r="I7" i="5"/>
  <c r="C9" i="8" s="1"/>
  <c r="H7" i="5"/>
  <c r="C7" i="8" s="1"/>
  <c r="G7" i="5"/>
  <c r="C6" i="8" s="1"/>
  <c r="D7" i="5"/>
  <c r="C8" i="8" s="1"/>
  <c r="I6" i="5"/>
  <c r="H6" i="5"/>
  <c r="G6" i="5"/>
  <c r="D6" i="5"/>
  <c r="I5" i="5"/>
  <c r="H5" i="5"/>
  <c r="G5" i="5"/>
  <c r="D5" i="5"/>
  <c r="I4" i="5"/>
  <c r="B9" i="8" s="1"/>
  <c r="H4" i="5"/>
  <c r="B7" i="8" s="1"/>
  <c r="G4" i="5"/>
  <c r="B6" i="8" s="1"/>
  <c r="D4" i="5"/>
  <c r="B8" i="8" s="1"/>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E12" i="5" s="1"/>
  <c r="R6" i="4"/>
  <c r="R5" i="4"/>
  <c r="R4" i="4"/>
  <c r="E86" i="5" s="1"/>
  <c r="E16" i="5" l="1"/>
  <c r="F6" i="5"/>
  <c r="F10" i="5"/>
  <c r="F14" i="5"/>
  <c r="F18" i="5"/>
  <c r="F22" i="5"/>
  <c r="F26" i="5"/>
  <c r="F30" i="5"/>
  <c r="F34" i="5"/>
  <c r="F38" i="5"/>
  <c r="F42" i="5"/>
  <c r="F46" i="5"/>
  <c r="F50" i="5"/>
  <c r="F54" i="5"/>
  <c r="F58" i="5"/>
  <c r="F62" i="5"/>
  <c r="F66" i="5"/>
  <c r="F70" i="5"/>
  <c r="F74" i="5"/>
  <c r="F78" i="5"/>
  <c r="F82" i="5"/>
  <c r="F86" i="5"/>
  <c r="E9" i="5"/>
  <c r="E13" i="5"/>
  <c r="E17" i="5"/>
  <c r="E29" i="5"/>
  <c r="E33" i="5"/>
  <c r="E37" i="5"/>
  <c r="E41" i="5"/>
  <c r="E45" i="5"/>
  <c r="E49" i="5"/>
  <c r="E53" i="5"/>
  <c r="E57" i="5"/>
  <c r="E61" i="5"/>
  <c r="E65" i="5"/>
  <c r="E69" i="5"/>
  <c r="E73" i="5"/>
  <c r="E77" i="5"/>
  <c r="E81" i="5"/>
  <c r="E85" i="5"/>
  <c r="E8" i="5"/>
  <c r="E5" i="5"/>
  <c r="E21" i="5"/>
  <c r="E25" i="5"/>
  <c r="F5" i="5"/>
  <c r="F9" i="5"/>
  <c r="F13" i="5"/>
  <c r="F17" i="5"/>
  <c r="F21" i="5"/>
  <c r="F25" i="5"/>
  <c r="F29" i="5"/>
  <c r="F33" i="5"/>
  <c r="F37" i="5"/>
  <c r="F41" i="5"/>
  <c r="F45" i="5"/>
  <c r="F49" i="5"/>
  <c r="F53" i="5"/>
  <c r="F57" i="5"/>
  <c r="F61" i="5"/>
  <c r="F65" i="5"/>
  <c r="F69" i="5"/>
  <c r="F73" i="5"/>
  <c r="F77" i="5"/>
  <c r="F81" i="5"/>
  <c r="F85" i="5"/>
  <c r="E32" i="5"/>
  <c r="E36" i="5"/>
  <c r="E40" i="5"/>
  <c r="E44" i="5"/>
  <c r="E48" i="5"/>
  <c r="E52" i="5"/>
  <c r="E56" i="5"/>
  <c r="E60" i="5"/>
  <c r="E64" i="5"/>
  <c r="E68" i="5"/>
  <c r="E72" i="5"/>
  <c r="E76" i="5"/>
  <c r="E80" i="5"/>
  <c r="E84" i="5"/>
  <c r="F32" i="5"/>
  <c r="F36" i="5"/>
  <c r="F40" i="5"/>
  <c r="F44" i="5"/>
  <c r="F48" i="5"/>
  <c r="F52" i="5"/>
  <c r="F56" i="5"/>
  <c r="F60" i="5"/>
  <c r="F64" i="5"/>
  <c r="F68" i="5"/>
  <c r="F72" i="5"/>
  <c r="F76" i="5"/>
  <c r="F80" i="5"/>
  <c r="F84" i="5"/>
  <c r="E4" i="5"/>
  <c r="E24" i="5"/>
  <c r="F8" i="5"/>
  <c r="F12" i="5"/>
  <c r="F16" i="5"/>
  <c r="F20" i="5"/>
  <c r="E23" i="5"/>
  <c r="E27" i="5"/>
  <c r="E31" i="5"/>
  <c r="E35" i="5"/>
  <c r="E39" i="5"/>
  <c r="E43" i="5"/>
  <c r="E47" i="5"/>
  <c r="E51" i="5"/>
  <c r="E55" i="5"/>
  <c r="E59" i="5"/>
  <c r="E63" i="5"/>
  <c r="E67" i="5"/>
  <c r="E71" i="5"/>
  <c r="E75" i="5"/>
  <c r="E79" i="5"/>
  <c r="E83" i="5"/>
  <c r="E87" i="5"/>
  <c r="F15" i="5"/>
  <c r="F19" i="5"/>
  <c r="F35" i="5"/>
  <c r="F39" i="5"/>
  <c r="F43" i="5"/>
  <c r="F47" i="5"/>
  <c r="F51" i="5"/>
  <c r="F55" i="5"/>
  <c r="F59" i="5"/>
  <c r="F63" i="5"/>
  <c r="F67" i="5"/>
  <c r="F71" i="5"/>
  <c r="F75" i="5"/>
  <c r="F79" i="5"/>
  <c r="F83" i="5"/>
  <c r="F87" i="5"/>
  <c r="E20" i="5"/>
  <c r="E28" i="5"/>
  <c r="F4" i="5"/>
  <c r="F24" i="5"/>
  <c r="F28" i="5"/>
  <c r="E7" i="5"/>
  <c r="E11" i="5"/>
  <c r="E15" i="5"/>
  <c r="E19" i="5"/>
  <c r="F7" i="5"/>
  <c r="F11" i="5"/>
  <c r="F23" i="5"/>
  <c r="F27" i="5"/>
  <c r="F31" i="5"/>
  <c r="E6" i="5"/>
  <c r="E10" i="5"/>
  <c r="E14" i="5"/>
  <c r="E18" i="5"/>
  <c r="E22" i="5"/>
  <c r="E26" i="5"/>
  <c r="E30" i="5"/>
  <c r="E34" i="5"/>
  <c r="E38" i="5"/>
  <c r="E42" i="5"/>
  <c r="E46" i="5"/>
  <c r="E50" i="5"/>
  <c r="E54" i="5"/>
  <c r="E58" i="5"/>
  <c r="E62" i="5"/>
  <c r="E66" i="5"/>
  <c r="E70" i="5"/>
  <c r="E74" i="5"/>
  <c r="E78" i="5"/>
  <c r="E82" i="5"/>
  <c r="B5" i="8" l="1"/>
  <c r="C4" i="8"/>
  <c r="C10" i="8"/>
  <c r="C12" i="8" s="1"/>
  <c r="C5" i="8"/>
  <c r="B4" i="8"/>
  <c r="B10" i="8"/>
  <c r="B12" i="8" s="1"/>
  <c r="B16" i="8" l="1"/>
  <c r="B17" i="8" s="1"/>
</calcChain>
</file>

<file path=xl/sharedStrings.xml><?xml version="1.0" encoding="utf-8"?>
<sst xmlns="http://schemas.openxmlformats.org/spreadsheetml/2006/main" count="498" uniqueCount="260">
  <si>
    <t>Registro de experimentación — WaterSOS / REPFUAGUA</t>
  </si>
  <si>
    <t>Tesis: Detección y corrección de fallas de seguridad en el sistema de reportes de fugas de agua WaterSOS–REPFUAGUA con apoyo de IA generativa.</t>
  </si>
  <si>
    <t>Tesista: Ing. Nicazio Ramírez Lozano   |   Asesor: M.C.A. Alfonso Rosas Escobedo</t>
  </si>
  <si>
    <t>Propósito de este libro</t>
  </si>
  <si>
    <t>Este libro es el instrumento de registro de la experimentación descrita en el Capítulo 3 (Materiales y métodos). Sirve para: (1) dejar validado el modelo de amenazas y la matriz de casos de prueba antes de congelarlos; (2) registrar, intento por intento, lo que ocurre al pedir a OpenCode y a Claude Code que corrijan cada falla; y (3) calcular, con fórmulas — no a mano — las métricas comparativas (tasa de corrección, corrección al primer intento, regresión funcional, vulnerabilidad nueva, esfuerzo y costo por corrección correcta) que se usarán como resultados reales en los Capítulos 4 y 5. No se debe inventar ni completar ningún dato: solo se registra lo que realmente ocurrió al ejecutar el experimento.</t>
  </si>
  <si>
    <t>Cómo usar las hojas, en orden</t>
  </si>
  <si>
    <t>1. Modelo_Amenazas</t>
  </si>
  <si>
    <t>Ya trae precargada la Tabla 2.2 de la tesis. Solo se revisa con el asesor y se llenan las columnas de validación (Sí/No, fecha, ajustes).</t>
  </si>
  <si>
    <t>2. Matriz_Casos_Prueba</t>
  </si>
  <si>
    <t>Ya trae precargados los 14 casos de la Tabla 3.5. Se confirma, caso por caso, que cada uno falla de verdad en el código original antes de congelar la suite, y se registra la evidencia.</t>
  </si>
  <si>
    <t>3. Bitacora_Iteraciones</t>
  </si>
  <si>
    <t>Aquí se registra CADA intento de corrección, con ambas herramientas, durante las tres repeticiones por caso. Es la hoja que más se llena durante la Semana 3 del plan de trabajo.</t>
  </si>
  <si>
    <t>4. Resultados_Finales</t>
  </si>
  <si>
    <t>Se llena sola con fórmulas que leen la Bitácora. No se escribe nada a mano aquí, salvo que una fórmula marque error porque falta un dato en la Bitácora.</t>
  </si>
  <si>
    <t>5. Costos</t>
  </si>
  <si>
    <t>Se registra el costo real de cada herramienta durante el periodo del experimento (la suscripción de Claude Code se prorratea; OpenCode gratuito queda en cero).</t>
  </si>
  <si>
    <t>6. Clasificacion_Tipos_Fallo</t>
  </si>
  <si>
    <t>Catálogo de tipos de fallo. En la Bitácora se elige uno de estos tipos cuando un intento no corrige la falla; aquí se cuenta cuántas veces ocurrió cada tipo.</t>
  </si>
  <si>
    <t>7. Resumen_Metricas</t>
  </si>
  <si>
    <t>Tablero final: junta todo con fórmulas y compara OpenCode contra Claude Code. Es la fuente de los resultados numéricos del Capítulo 5.</t>
  </si>
  <si>
    <t>Código de colores</t>
  </si>
  <si>
    <t>Azul claro</t>
  </si>
  <si>
    <t>Datos de referencia tomados de la tesis (Tabla 2.2 y Tabla 3.5). No se editan.</t>
  </si>
  <si>
    <t>Amarillo</t>
  </si>
  <si>
    <t>Celda para llenar con datos reales de la experimentación.</t>
  </si>
  <si>
    <t>Verde claro</t>
  </si>
  <si>
    <t>Celda con fórmula. Se calcula sola; no se escribe encima.</t>
  </si>
  <si>
    <t>Reglas para no invalidar el experimento</t>
  </si>
  <si>
    <t>•</t>
  </si>
  <si>
    <t>No se inventa ni se redondea ningún resultado: si una prueba no se corrió, la celda se deja vacía, no se pone "Pasa".</t>
  </si>
  <si>
    <t>Cada fila de la Bitácora corresponde a una sesión real con una herramienta. Se anota la fecha y hora reales.</t>
  </si>
  <si>
    <t>El modelo de OpenCode usado ese día se anota siempre (columna Modelo_Usado), porque la oferta gratuita puede cambiar durante el mes.</t>
  </si>
  <si>
    <t>Antes de correr el experimento se verifica que NO haya una variable de entorno ANTHROPIC_API_KEY activa al usar Claude Code, para que el uso se cuente contra el plan Pro y no se cobre por API.</t>
  </si>
  <si>
    <t>La suite de pruebas y su hash (hoja Matriz_Casos_Prueba) se congelan antes de iniciar las correcciones y no se modifican después.</t>
  </si>
  <si>
    <t>El orden en que se atienden los casos se alterna entre OpenCode y Claude Code de una sesión a la siguiente (columna Orden_Sesion en la Bitácora), para que el aprendizaje del tesista sobre el código no beneficie siempre a la misma herramienta.</t>
  </si>
  <si>
    <t>Al terminar, este archivo completo (las 7 hojas) es lo que se entrega al asesor para redactar los Capítulos 4 y 5.</t>
  </si>
  <si>
    <t>Modelo de amenazas — validación (base: Tabla 2.2 de la tesis, Capítulo 2)</t>
  </si>
  <si>
    <t>#</t>
  </si>
  <si>
    <t>Función o elemento (punto de la Fig. 2.1)</t>
  </si>
  <si>
    <t>Amenaza STRIDE</t>
  </si>
  <si>
    <t>MASVS / ASVS</t>
  </si>
  <si>
    <t>Riesgos OWASP relacionados</t>
  </si>
  <si>
    <t>Validado con el asesor (Sí/No)</t>
  </si>
  <si>
    <t>Fecha de validación</t>
  </si>
  <si>
    <t>Observaciones / ajustes</t>
  </si>
  <si>
    <t>1</t>
  </si>
  <si>
    <t>Sincronización asíncrona</t>
  </si>
  <si>
    <t>Manipulación; negación de servicio</t>
  </si>
  <si>
    <t>MASVS-NETWORK; ASVS: lógica de negocio y manejo de errores</t>
  </si>
  <si>
    <t>Top 10:2025 A10 y A06; Mobile M5</t>
  </si>
  <si>
    <t>2</t>
  </si>
  <si>
    <t>Autenticación y autorización</t>
  </si>
  <si>
    <t>Suplantación; elevación de privilegios</t>
  </si>
  <si>
    <t>MASVS-AUTH; ASVS: autenticación, sesiones y autorización</t>
  </si>
  <si>
    <t>Top 10:2025 A01 y A07; Mobile M3</t>
  </si>
  <si>
    <t>3</t>
  </si>
  <si>
    <t>Campos que envía el cliente (estatus, usuario, nombre de archivo)</t>
  </si>
  <si>
    <t>Manipulación; elevación de privilegios</t>
  </si>
  <si>
    <t>MASVS-CODE-4; ASVS: validación y lógica de negocio</t>
  </si>
  <si>
    <t>Top 10:2025 A01 y A06; Mobile M4</t>
  </si>
  <si>
    <t>4</t>
  </si>
  <si>
    <t>Evidencia fotográfica</t>
  </si>
  <si>
    <t>MASVS-NETWORK y MASVS-CODE-4; ASVS: manejo de archivos</t>
  </si>
  <si>
    <t>Top 10:2025 A06; Mobile M4</t>
  </si>
  <si>
    <t>5</t>
  </si>
  <si>
    <t>Geolocalización</t>
  </si>
  <si>
    <t>Manipulación</t>
  </si>
  <si>
    <t>MASVS-CODE-4 y MASVS-PRIVACY-1; ASVS: validación de entradas</t>
  </si>
  <si>
    <t>Top 10:2025 A06; Mobile M4 y M6</t>
  </si>
  <si>
    <t>6</t>
  </si>
  <si>
    <t>Datos personales en el dispositivo</t>
  </si>
  <si>
    <t>Divulgación de información</t>
  </si>
  <si>
    <t>MASVS-STORAGE y MASVS-PRIVACY</t>
  </si>
  <si>
    <t>Top 10:2025 A04; Mobile M9 y M6</t>
  </si>
  <si>
    <t>7</t>
  </si>
  <si>
    <t>Credenciales y contraseñas</t>
  </si>
  <si>
    <t>Divulgación de información; suplantación</t>
  </si>
  <si>
    <t>MASVS-CRYPTO; ASVS: criptografía y autenticación</t>
  </si>
  <si>
    <t>Top 10:2025 A04 y A07; Mobile M1 y M10</t>
  </si>
  <si>
    <t>8</t>
  </si>
  <si>
    <t>Configuración y hosting</t>
  </si>
  <si>
    <t>Divulgación de información; negación de servicio</t>
  </si>
  <si>
    <t>ASVS: configuración</t>
  </si>
  <si>
    <t>Top 10:2025 A02; Mobile M8</t>
  </si>
  <si>
    <t>Nota. Elaboración propia con base en Shostack (2014) y OWASP Foundation. A01: control de acceso roto; A02: mala configuración de seguridad; A04: fallos criptográficos; A06: diseño inseguro; A07: fallos de autenticación; A10: manejo inadecuado de condiciones excepcionales; M1-M10: Mobile Top 10 de 2024.</t>
  </si>
  <si>
    <t>Matriz de casos de prueba de seguridad — validación (base: Tabla 3.5, Capítulo 3)</t>
  </si>
  <si>
    <t>ID</t>
  </si>
  <si>
    <t>Punto (Fig. 2.1)</t>
  </si>
  <si>
    <t>CWE</t>
  </si>
  <si>
    <t>Caso de prueba</t>
  </si>
  <si>
    <t>Nivel</t>
  </si>
  <si>
    <t>Estándar relacionado</t>
  </si>
  <si>
    <t>Falla confirmada en código original (Sí/No)</t>
  </si>
  <si>
    <t>Severidad CVSS v4.0 (opcional)</t>
  </si>
  <si>
    <t>Hash de la suite al congelar</t>
  </si>
  <si>
    <t>Observaciones</t>
  </si>
  <si>
    <t>TC-01</t>
  </si>
  <si>
    <t>CWE-20</t>
  </si>
  <si>
    <t>Enviar un reporte con latitud o longitud fuera del rango válido y verificar que el servidor lo rechace.</t>
  </si>
  <si>
    <t>Bajo</t>
  </si>
  <si>
    <t>ASVS V5; Top 10:2025 A06</t>
  </si>
  <si>
    <t>TC-02</t>
  </si>
  <si>
    <t>CWE-521</t>
  </si>
  <si>
    <t>Registrar un usuario con una contraseña muy corta y verificar que el sistema exija una política adecuada.</t>
  </si>
  <si>
    <t>ASVS V6; MASVS-AUTH-1</t>
  </si>
  <si>
    <t>TC-03</t>
  </si>
  <si>
    <t>CWE-434</t>
  </si>
  <si>
    <t>Enviar un archivo que no es imagen como evidencia fotográfica y verificar que el servidor lo rechace.</t>
  </si>
  <si>
    <t>MASVS-CODE-4; ASVS V12</t>
  </si>
  <si>
    <t>TC-04</t>
  </si>
  <si>
    <t>CWE-209</t>
  </si>
  <si>
    <t>Provocar un error del servidor y verificar que el mensaje no revele rutas, consultas ni configuración.</t>
  </si>
  <si>
    <t>ASVS V16; Top 10:2025 A02</t>
  </si>
  <si>
    <t>TC-05</t>
  </si>
  <si>
    <t>CWE-89</t>
  </si>
  <si>
    <t>Enviar una carga de inyección SQL en el formulario de inicio de sesión del administrador.</t>
  </si>
  <si>
    <t>Medio</t>
  </si>
  <si>
    <t>ASVS V5; Top 10:2025 A05</t>
  </si>
  <si>
    <t>TC-06</t>
  </si>
  <si>
    <t>Enviar una carga de inyección SQL en el buscador de reportes del panel de administración.</t>
  </si>
  <si>
    <t>TC-07</t>
  </si>
  <si>
    <t>CWE-602</t>
  </si>
  <si>
    <t>Enviar una petición directa al servicio que altere el campo de estatus o de usuario sin pasar por la app.</t>
  </si>
  <si>
    <t>MASVS-CODE-4; ASVS V1 y V11</t>
  </si>
  <si>
    <t>TC-08</t>
  </si>
  <si>
    <t>CWE-306 / CWE-639</t>
  </si>
  <si>
    <t>Acceder a un endpoint de administración sin sesión válida, o consultar el reporte de otro usuario por su identificador.</t>
  </si>
  <si>
    <t>MASVS-AUTH; ASVS V4</t>
  </si>
  <si>
    <t>TC-09</t>
  </si>
  <si>
    <t>CWE-312</t>
  </si>
  <si>
    <t>Extraer la base SQLite del dispositivo con adb y verificar si los datos personales están cifrados.</t>
  </si>
  <si>
    <t>MASVS-STORAGE-1</t>
  </si>
  <si>
    <t>TC-10</t>
  </si>
  <si>
    <t>CWE-916</t>
  </si>
  <si>
    <t>Revisar cómo se almacena la contraseña en la base de datos y verificar si usa un algoritmo de hash robusto.</t>
  </si>
  <si>
    <t>MASVS-CRYPTO; ASVS V6</t>
  </si>
  <si>
    <t>TC-11</t>
  </si>
  <si>
    <t>CWE-693</t>
  </si>
  <si>
    <t>Cortar la conexión durante el envío de un reporte y verificar si se marca como enviado sin confirmación del servidor.</t>
  </si>
  <si>
    <t>Alto</t>
  </si>
  <si>
    <t>Top 10:2025 A10; ASVS V13</t>
  </si>
  <si>
    <t>TC-12</t>
  </si>
  <si>
    <t>Reintentar el envío de un reporte tras una falla de red y verificar si el servidor genera un duplicado.</t>
  </si>
  <si>
    <t>TC-13</t>
  </si>
  <si>
    <t>CWE-269</t>
  </si>
  <si>
    <t>Verificar si un administrador puede crear otros administradores o cambiar privilegios sin una validación adecuada.</t>
  </si>
  <si>
    <t>MASVS-AUTH-3; ASVS V4</t>
  </si>
  <si>
    <t>TC-14</t>
  </si>
  <si>
    <t>CWE-798</t>
  </si>
  <si>
    <t>Revisar el código y la configuración del servidor en busca de credenciales escritas de forma fija.</t>
  </si>
  <si>
    <t>ASVS V6; Top 10:2025 A02</t>
  </si>
  <si>
    <t>Nota. Elaboración propia con base en la Tabla 2.2 y OWASP Foundation. Los CWE siguen la Common Weakness Enumeration citada por Yan et al. (2025). El hash de la suite (columna J) se calcula una sola vez, al congelar la suite (paso 5 de la Operación, apartado 3.3.5), por ejemplo con 'certutil -hashfile carpeta_suite.zip SHA256' en Windows.</t>
  </si>
  <si>
    <t>Bitácora de iteraciones de corrección (una fila por cada intento real)</t>
  </si>
  <si>
    <t>N°</t>
  </si>
  <si>
    <t>Fecha</t>
  </si>
  <si>
    <t>Hora</t>
  </si>
  <si>
    <t>Orden de sesión (1°/2°)</t>
  </si>
  <si>
    <t>Herramienta</t>
  </si>
  <si>
    <t>Modelo usado</t>
  </si>
  <si>
    <t>ID caso</t>
  </si>
  <si>
    <t>Repetición (1-3)</t>
  </si>
  <si>
    <t>N° de iteración</t>
  </si>
  <si>
    <t>Instrucción enviada (resumen)</t>
  </si>
  <si>
    <t>Resumen de la respuesta / parche aplicado</t>
  </si>
  <si>
    <t>Resultado prueba de seguridad</t>
  </si>
  <si>
    <t>Resultado suite de regresión</t>
  </si>
  <si>
    <t>¿Vulnerabilidad nueva?</t>
  </si>
  <si>
    <t>Tiempo activo (min)</t>
  </si>
  <si>
    <t>Tipo de fallo (si no corrigió)</t>
  </si>
  <si>
    <t>Clave (no editar)</t>
  </si>
  <si>
    <t>01/10/2026</t>
  </si>
  <si>
    <t>09:15</t>
  </si>
  <si>
    <t>1°</t>
  </si>
  <si>
    <t>OpenCode</t>
  </si>
  <si>
    <t>modelo gratuito vigente en Models.dev el día de la sesión</t>
  </si>
  <si>
    <t>Falla CWE-89 en login de administrador; se adjunta fragmento de código y el resultado de la prueba fallida.</t>
  </si>
  <si>
    <t>Se agregó una consulta preparada (prepared statement) en login_admin.php.</t>
  </si>
  <si>
    <t>Pasa</t>
  </si>
  <si>
    <t>No</t>
  </si>
  <si>
    <t>Corrigió en el primer intento.</t>
  </si>
  <si>
    <t>Resultados por caso, herramienta y repetición (calculado con fórmulas)</t>
  </si>
  <si>
    <t>Repetición</t>
  </si>
  <si>
    <t>Iteraciones usadas</t>
  </si>
  <si>
    <t>Corregido al primer intento</t>
  </si>
  <si>
    <t>Corregido (resultado final)</t>
  </si>
  <si>
    <t>Regresión funcional (alguna iteración)</t>
  </si>
  <si>
    <t>Vulnerabilidad nueva (alguna iteración)</t>
  </si>
  <si>
    <t>Tiempo total (min)</t>
  </si>
  <si>
    <t>Claude Code</t>
  </si>
  <si>
    <t>Nota. Todas las celdas verdes se calculan solas a partir de lo registrado en Bitacora_Iteraciones. Si una fórmula muestra vacío, significa que esa combinación de caso/herramienta/repetición aún no tiene registros en la bitácora.</t>
  </si>
  <si>
    <t>Costo de cada herramienta durante el periodo del experimento</t>
  </si>
  <si>
    <t>Concepto</t>
  </si>
  <si>
    <t>Costo total del periodo (fill)</t>
  </si>
  <si>
    <t>Moneda</t>
  </si>
  <si>
    <t>Días del mes con suscripción activa</t>
  </si>
  <si>
    <t>Días usados en el experimento</t>
  </si>
  <si>
    <t>Costo prorrateado (fórmula)</t>
  </si>
  <si>
    <t>Herramienta gratuita; sin costo monetario directo.</t>
  </si>
  <si>
    <t>MXN</t>
  </si>
  <si>
    <t>Plan Pro de Anthropic (prorratear el costo mensual entre los días realmente usados en el experimento).</t>
  </si>
  <si>
    <t>Nota. Confirmar antes del experimento que no haya una clave de API activa (variable de entorno ANTHROPIC_API_KEY) al usar Claude Code, porque en ese caso el uso se cobraría por API y no contra la suscripción del plan Pro (véase apartado 2.3.3).</t>
  </si>
  <si>
    <t>Catálogo de tipos de fallo (para clasificar cada intento que no corrigió)</t>
  </si>
  <si>
    <t>Tipo de fallo</t>
  </si>
  <si>
    <t>Descripción</t>
  </si>
  <si>
    <t>N° de intentos (fórmula)</t>
  </si>
  <si>
    <t>Sin cambio</t>
  </si>
  <si>
    <t>La herramienta no modificó ningún archivo o propuso no hacer cambios.</t>
  </si>
  <si>
    <t>Cambio incorrecto</t>
  </si>
  <si>
    <t>El parche propuesto no resuelve la falla original (la prueba de seguridad sigue fallando).</t>
  </si>
  <si>
    <t>Cambio parcial</t>
  </si>
  <si>
    <t>El parche mitiga parte del problema pero no lo resuelve por completo.</t>
  </si>
  <si>
    <t>Regresión funcional</t>
  </si>
  <si>
    <t>El parche corrige la falla de seguridad, pero rompe una prueba funcional que antes pasaba.</t>
  </si>
  <si>
    <t>Vulnerabilidad nueva</t>
  </si>
  <si>
    <t>El parche introduce un hallazgo de seguridad que no existía en la línea base.</t>
  </si>
  <si>
    <t>No compila / error de sintaxis</t>
  </si>
  <si>
    <t>El código propuesto no ejecuta o no compila.</t>
  </si>
  <si>
    <t>Límite de uso alcanzado</t>
  </si>
  <si>
    <t>La sesión se interrumpió por un límite de la herramienta (cuota, tiempo, contexto) antes de completar el intento.</t>
  </si>
  <si>
    <t>Otro</t>
  </si>
  <si>
    <t>Cualquier tipo de fallo no cubierto por las categorías anteriores; describir en Observaciones.</t>
  </si>
  <si>
    <t>Resumen comparativo — OpenCode vs. Claude Code (Capítulo 5)</t>
  </si>
  <si>
    <t>Métrica</t>
  </si>
  <si>
    <t>Tasa de corrección (% de repeticiones con resultado final = Sí)</t>
  </si>
  <si>
    <t>Corrección al primer intento (% de repeticiones)</t>
  </si>
  <si>
    <t>Repeticiones con regresión funcional (conteo)</t>
  </si>
  <si>
    <t>Repeticiones con vulnerabilidad nueva (conteo)</t>
  </si>
  <si>
    <t>Iteraciones promedio por repetición</t>
  </si>
  <si>
    <t>Tiempo activo total (horas)</t>
  </si>
  <si>
    <t>Correcciones correctas (conteo, resultado final = Sí)</t>
  </si>
  <si>
    <t>Costo total del periodo (prorrateado)</t>
  </si>
  <si>
    <t>Costo por corrección correcta</t>
  </si>
  <si>
    <t>Verificación de H1 (margen de equivalencia)</t>
  </si>
  <si>
    <t>Margen de equivalencia preestablecido (Δ, en puntos porcentuales)</t>
  </si>
  <si>
    <t>Definir con el asesor antes de ver los resultados (por defecto 10 puntos porcentuales).</t>
  </si>
  <si>
    <t>Diferencia observada |Tasa OpenCode − Tasa Claude Code|</t>
  </si>
  <si>
    <t>¿La diferencia está dentro del margen? (H1 sostenida si Sí)</t>
  </si>
  <si>
    <t>Sí</t>
  </si>
  <si>
    <t>Sin ajustes. Confirmado en pruebas funcionales (08/10/2026): la app encola reportes sin conexión y los envía automáticamente al reconectar, consistente con la amenaza modelada.</t>
  </si>
  <si>
    <t>Sin ajustes. Modelo consistente con TC-05, TC-08 y TC-13.</t>
  </si>
  <si>
    <t>Confirmado en código real (guardarFoto.php, 09/10/2026): el parámetro nombreImagen recibido del cliente se concatena sin sanitizar en la ruta del archivo destino, permitiendo potencial path traversal. Refuerza la amenaza modelada.</t>
  </si>
  <si>
    <t>Confirmado en código real (guardarFoto.php, 09/10/2026): file_put_contents() escribe el archivo recibido sin validar tipo ni extensión, ni restringir la ruta de destino (CWE-434). Ver TC-03.</t>
  </si>
  <si>
    <t>Sin ajustes. Modelo consistente con TC-01.</t>
  </si>
  <si>
    <t>Confirmado en código real (AdminSQLiteOpenHelper.java, 09/10/2026): la app usa una base de datos SQLite local para cachear datos de reportes y fotos, confirmando la existencia de datos extraíbles del dispositivo. Refuerza TC-09.</t>
  </si>
  <si>
    <t>Confirmado con el dump real del sistema (2021): las contraseñas se almacenan como hash MD5 de 32 caracteres sin sal, consistente con la amenaza modelada. Refuerza TC-10.</t>
  </si>
  <si>
    <t>Confirmado en código real (09/10/2026): se encontraron URLs de hosting hardcodeadas en 5 archivos distintos de la app Android, apuntando a un servicio ya dado de baja (000webhostapp). Evidencia de configuración fija en código, relacionada con la amenaza modelada.</t>
  </si>
  <si>
    <t>Se envió una petición POST directa a guardarReporte.php (vía Postman) con latitud=999 y longitud=-999 (fuera del rango físicamente válido ±90/±180). El servidor respondió 200 OK / true y el registro quedó almacenado en la base de datos con los valores inválidos, confirmado en phpMyAdmin. No existe validación de rango en ningún campo del endpoint. Vulnerabilidad CWE-20 (Improper Input Validation) confirmada</t>
  </si>
  <si>
    <t>Se envió una petición POST directa a crearUsuario.php con contraseña de un solo carácter (‘1’). El servidor no aplica ninguna política de longitud mínima ni complejidad; la cuenta se creó exitosamente (hash MD5 c4ca4238a0b923820dcc509a6f75849b visible en phpMyAdmin), confirmado también en el panel web de administración. Vulnerabilidad CWE-521 (Weak Password Requirements) confirmada. Nota adicional: la respuesta del servidor incluyó un stack trace con rutas absolutas del sistema de archivos del servidor, por un bug no relacionado (variable $con indefinida al cerrar la conexión en la línea 18) — evidencia visible en TC-02_01_postman-peticion-respuesta.png; hallazgo relevante para CWE-209, que se documentará con su propia evidencia independiente en TC-04</t>
  </si>
  <si>
    <t>Se subió un archivo .php (disfrazado como si fuera una foto) a través de guardarFoto.php. El servidor no valida tipo ni contenido del archivo: lo escribió físicamente en imagenes/ y, al accederlo directamente vía navegador, se ejecutó como código PHP (confirmado con phpinfo()), demostrando ejecución remota de código. El registro en la tabla foto falló por una restricción de llave foránea no relacionada (clave_Reporte='TC-03' no existe en la tabla reporte), lo cual no afecta el hallazgo: la escritura y ejecución del archivo ocurren antes de esa inserción en el código fuente. Vulnerabilidad CWE-434 (Unrestricted Upload of File with Dangerous Type) confirmada.</t>
  </si>
  <si>
    <t>Se envió una petición POST a guardarReporte.php omitiendo deliberadamente los campos latitud, longitud y fecha. El servidor respondió con tres warnings de PHP (Undefined array key) que exponen la ruta absoluta del archivo en el servidor (C:\xampp\htdocs\RepWatOriginal\REPFUAGUA\php\guardarReporte.php) y el número de línea exacto de cada error (10, 11 y 12), información no destinada a un cliente no autenticado. Pese a los campos faltantes, el servidor completó la inserción (200 OK / true). Esto confirma que display_errors está activo, exponiendo detalles internos de la aplicación ante cualquier petición malformada. Vulnerabilidad CWE-209 (Generation of Error Message Containing Sensitive Information) confirmada.</t>
  </si>
  <si>
    <t>Se envió una petición POST a logueo.php con el payload clásico de bypass de autenticación (‘ OR ‘1’='1' -- ) en el campo nombre. La respuesta (302 Found) redirigió a index.php, confirmando que el intento de login falló. La revisión del código fuente confirma por qué: a diferencia de guardarFoto.php y guardarReporte.php, este endpoint usa consultas parametrizadas reales (bind_param() con marcadores ? para usuario y contraseña), lo que neutraliza la inyección SQL clásica en este formulario específico. CWE-89 NO se confirma en el login del panel de administración. Se decide mantener el caso documentado como ‘No confirmado’ con esta evidencia, y trasladar la demostración de CWE-89 al caso TC-06 (buscador de reportes del panel admin), endpoint distinto aún no evaluado.</t>
  </si>
  <si>
    <t>Se comparó una búsqueda de línea base (s=zzznomatch12345, un término inexistente) contra la misma búsqueda con inyección SQL (s=zzznomatch12345' OR ‘1’='1' -- ). La primera regresó ‘No hay resultados’; la segunda regresó la tabla completa de reportes, confirmando que la condición inyectada OR ‘1’='1' anuló el filtro de búsqueda. El endpoint busqueda.php concatena $_POST[‘s’] directamente en la sentencia SQL sin ningún tipo de sanitización ni parametrización (ni siquiera una preparación falsa como en otros casos). Se confirma además que el endpoint no valida sesión de administrador antes de ejecutar la consulta, hallazgo adicional relevante para TC-08. Vulnerabilidad CWE-89 (SQL Injection) confirmada.</t>
  </si>
  <si>
    <t>Se envió una petición POST directa a actualizar.php con los parámetros id=16209 y seguimiento=Terminado, sin ninguna cookie de sesión adjunta. El servidor respondió con el script de éxito (‘Eliminado exitosamente’) y ejecutó el UPDATE, confirmado al verificar que el campo seguimiento del reporte clave 16209 cambió a ‘Terminado’. Esto demuestra que el control de acceso de administrador se aplica únicamente en ver.php (verificación de $_SESSION[‘rol’]=='admin' antes de renderizar la vista), pero el endpoint que ejecuta la acción real, actualizar.php, no repite esta validación del lado del servidor — depende exclusivamente de que el cliente llegue a través de la interfaz ya autenticada. Esto permite que cualquier usuario no autenticado modifique el estatus de cualquier reporte conociendo su clave_Reporte. Vulnerabilidad CWE-602 (Client-Side Enforcement of Server-Side Security) confirmada</t>
  </si>
  <si>
    <t>Se envió una petición POST a busqueda.php con el término de búsqueda s='a', sin ninguna cookie de sesión adjunta. El servidor respondió 200 OK en 22 ms y regresó la tabla HTML completa con registros reales de la base de datos (clave TC-01, dirección, descripción, usuario elena_rios, entre otros), confirmando que el endpoint no valida sesión de administrador antes de ejecutar la consulta y devolver los resultados. A diferencia de ver.php, que sí protege la vista con una verificación de $_SESSION[‘rol’]=='admin', el endpoint AJAX que realmente sirve los datos (busqueda.php) carece de esa misma protección, permitiendo a cualquier usuario no autenticado consultar y enumerar la información completa de reportes del sistema. Vulnerabilidad CWE-862 (Missing Authorization) confirmada</t>
  </si>
  <si>
    <t>Se extrajo la base de datos SQLite local de la app WaterSOS (Reporte.db) usando adb run-as sobre un build debuggable, sin requerir acceso root al dispositivo. Tras iniciar sesión en la app y generar un reporte de prueba desde el celular, la revisión de la base extraída mostró que, si bien la tabla usuario permanece vacía (la app no cachea credenciales localmente), las tablas reporte y foto sí almacenan en texto plano, sin ningún mecanismo de cifrado (como SQLCipher), datos personales y de geolocalización de los ciudadanos que reportan fugas: dirección completa, coordenadas GPS exactas, fecha/hora, descripción textual, el nombre de usuario del denunciante, y la fotografía de evidencia asociada. Esta información es accesible a cualquiera con acceso físico breve al dispositivo (vía adb) sin necesitar la contraseña de la cuenta ni privilegios de administrador del sistema operativo. Vulnerabilidad CWE-312 (Cleartext Storage of Sensitive Information) confirmada, conforme a MASVS-STORAGE-1.</t>
  </si>
  <si>
    <t>Se creó un usuario de prueba (tc10_test) con contraseña conocida (‘ClaveDePrueba123’) vía crearUsuario.php. El valor almacenado en la base de datos para la columna contraseña (b5b5e71e0e044cd2736ab37535027a80) coincide exactamente con el resultado de calcular MD5(‘ClaveDePrueba123’) de forma independiente con PowerShell, confirmando que el sistema no aplica ninguna sal (salt) ni factor de trabajo configurable al hash de la contraseña. El código fuente (crearUsuario.php línea 7 y crearAd.php línea 7) confirma el uso directo de la función md5() de PHP sobre el valor recibido en $_POST, tanto para cuentas de usuario como de administrador. La ausencia de sal se confirma adicionalmente en los datos preexistentes de la tabla usuario, donde admin_sos, carlos_pech, elena_rios, javier_dzul, monica_uc y supervisor_ver comparten el mismo hash (b78e0b1653aeddcfcc386d9181b6e115), evidenciando que comparten la misma contraseña en texto plano y que un atacante con acceso de lectura a la base de datos puede identificar cuentas con contraseñas repetidas por simple comparación de hashes. MD5 es un algoritmo de hash criptográficamente roto para almacenamiento de contraseñas, trivialmente vulnerable a fuerza bruta y tablas rainbow dada su alta velocidad de cómputo. Vulnerabilidad CWE-916 (Use of Password Hash With Insufficient Computational Effort) confirmada.</t>
  </si>
  <si>
    <t>Se detuvo el servicio Apache en el servidor mientras el dispositivo Android permanecía conectado a una red con conectividad activa. Se creó un reporte nuevo (clave_Reporte 42857) desde la app, el cual se guardó localmente con éxito (insertarReporte en AdminSQLiteOpenHelper.java). Al forzar el intento de sincronización (navegando a ‘Mis Reportes’, que dispara enviarReporteConConexion en EnviarDatos.java), el servidor respondió con java.net.ConnectException: Failed to connect, confirmando que la petición HTTP falló. Sin embargo, la extracción posterior de la base SQLite local confirmó que el campo estatus del reporte 42857 quedó en 1 (enviado), idéntico al de los reportes que sí fueron sincronizados exitosamente, y la verificación en phpMyAdmin confirmó que dicho reporte nunca llegó a la tabla reporte del servidor. El código fuente explica la causa exacta: el método actualizarEstatus() (AdminSQLiteOpenHelper.java, líneas 150-156) ejecuta un UPDATE incondicional del campo estatus antes de que la petición asíncrona (Volley) se complete, y ni el callback de éxito (onResponse, vacío) ni el de error (onErrorResponse, que solo muestra un Toast) revierten ese cambio. Esto demuestra que la app reporta éxito de sincronización basándose únicamente en haber iniciado el envío, no en una confirmación real del servidor, resultando en pérdida silenciosa de reportes de fugas de agua sin que el ciudadano lo note. Como observación complementaria, se identificaron en el mismo archivo los métodos borrarDatosTablaReporte() y borrarDatosTablaFoto() (líneas 190-205), que ejecutan un DELETE sin condición sobre las tablas completas; durante la prueba se observó que, al intentar sincronizar con el servicio caído, el conjunto de datos local pareció vaciarse por completo en al menos un intento, consistente con una posible invocación de estos métodos en el flujo de actualización de la pantalla ‘Mis Reportes’, aunque no se confirmó el punto exacto de disparo por estar fuera del alcance de los archivos revisados. Vulnerabilidad CWE-693 (Protection Mechanism Failure) confirmada.</t>
  </si>
  <si>
    <t>Se enviaron dos peticiones POST a guardarReporte.php con claves distintas (TC12A y TC12B) pero contenido idéntico en el resto de los campos (dirección, coordenadas, fecha, descripción, usuario), simulando el escenario real en que un reintento de envío tras una falla de red genera una nueva clave en el cliente sin que este sepa si el primer envío llegó. Ambas filas quedaron insertadas exitosamente en la tabla reporte del servidor (respuesta true en ambos casos), confirmando que clave_Reporte (generada por el cliente, campo varchar(5) sin validación de unicidad de contenido) es el único mecanismo de control de duplicados, y que el servidor carece de cualquier verificación adicional que detecte y rechace reportes repetidos de la misma fuga. Hallazgo complementario: una prueba preliminar con claves más largas (‘TC12-A’/’TC12-B’) confirmó que la columna trunca a 5 caracteres, generando una colisión accidental (mysqli_sql_exception: Duplicate entry) que además expuso ruta y línea del servidor (CWE-209, ya documentado en TC-04); esto implica que el espacio real de claves de 5 dígitos que genera la app (solo 100,000 valores posibles) incrementa el riesgo de colisión accidental conforme crece el volumen de reportes. También se confirmó que guardarReporte.php (línea 17) y guardarFoto.php (línea 16) concatenan los valores de $_POST directamente en el texto del SQL antes de llamar a prepare(), replicando el patrón de inyección SQL (CWE-89) ya visto en TC-06, esta vez en el endpoint de creación de reportes. Vulnerabilidad CWE-693 (Protection Mechanism Failure) confirmada</t>
  </si>
  <si>
    <t>Se envió una petición POST directa a crearAd.php con los parámetros nombreUser, nombre, contra y email, sin ninguna cookie de sesión adjunta. El servidor respondió ‘ADMINISTRADOR GUARDADO CORRECTAMENTE’ y se confirmó en la base de datos que la cuenta tc13_admin fue creada con rol='admin'. El código fuente confirma que no existe ninguna llamada a session_start() ni verificación de $_SESSION antes de ejecutar el INSERT, y que el valor de rol se asigna como ‘admin’ de forma incondicional en el servidor. Para demostrar el escalamiento de privilegios de forma completa, se inició sesión con las credenciales recién creadas en logueo.php, el cual respondió 302 Found asignando una cookie PHPSESSID válida, y se confirmó acceso real al panel de administración (menuAdmin.php) desde el navegador, con el menú completo de funciones de administrador disponible (lista de reportes, cambio de estatus, eliminación y creación de reportes). Esto demuestra que cualquier usuario no autenticado puede crear una cuenta de administrador y obtener control total del sistema sin ninguna restricción. Vulnerabilidad CWE-269 (Improper Privilege Management) confirmada</t>
  </si>
  <si>
    <t>Se confirma CWE-798 (Use of Hard-coded Credentials) en conexion.php: las credenciales de conexión a MySQL (usuario root, contraseña vacía) están escritas en texto plano directamente en el código fuente, en vez de estar en variables de entorno o un archivo de configuración externo al control de versiones. Se validó en phpMyAdmin que el servidor opera activamente con la sesión root@localhost sin SSL, confirmando que esas credenciales fijas son las reales y otorgan acceso administrativo total al motor de base de datos desde cualquier copia del código fuente. Como hallazgo complementario del mismo principio, se detectó que la app Android fija la dirección IP del servidor directamente en el código (EnviarDatos.java, líneas 171-172, literal 192.168.1.66) en lugar de externalizarla a un archivo de configuración, además de una entrada inconsistente de IP/puerto en strings.xml (192.168.1.70:8080) que no se utiliza en las llamadas reales al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</si>
</sst>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charset val="1"/>
    </font>
    <font>
      <b/>
      <sz val="14"/>
      <color rgb="FFFFFFFF"/>
      <name val="Arial"/>
      <charset val="1"/>
    </font>
    <font>
      <b/>
      <sz val="10"/>
      <name val="Arial"/>
      <charset val="1"/>
    </font>
    <font>
      <sz val="10"/>
      <name val="Arial"/>
      <charset val="1"/>
    </font>
    <font>
      <b/>
      <sz val="10"/>
      <color rgb="FF1F4E78"/>
      <name val="Arial"/>
      <charset val="1"/>
    </font>
    <font>
      <b/>
      <sz val="10"/>
      <color rgb="FFFFFFFF"/>
      <name val="Arial"/>
      <charset val="1"/>
    </font>
    <font>
      <i/>
      <sz val="9"/>
      <color rgb="FF808080"/>
      <name val="Arial"/>
      <charset val="1"/>
    </font>
    <font>
      <sz val="8"/>
      <color rgb="FFA6A6A6"/>
      <name val="Arial"/>
      <charset val="1"/>
    </font>
  </fonts>
  <fills count="8">
    <fill>
      <patternFill patternType="none"/>
    </fill>
    <fill>
      <patternFill patternType="gray125"/>
    </fill>
    <fill>
      <patternFill patternType="solid">
        <fgColor rgb="FF1F4E78"/>
        <bgColor rgb="FF003366"/>
      </patternFill>
    </fill>
    <fill>
      <patternFill patternType="solid">
        <fgColor rgb="FFD9E2F3"/>
        <bgColor rgb="FFDDEBF7"/>
      </patternFill>
    </fill>
    <fill>
      <patternFill patternType="solid">
        <fgColor rgb="FFDDEBF7"/>
        <bgColor rgb="FFD9E2F3"/>
      </patternFill>
    </fill>
    <fill>
      <patternFill patternType="solid">
        <fgColor rgb="FFFFF2CC"/>
        <bgColor rgb="FFE2EFDA"/>
      </patternFill>
    </fill>
    <fill>
      <patternFill patternType="solid">
        <fgColor rgb="FFE2EFDA"/>
        <bgColor rgb="FFDDEBF7"/>
      </patternFill>
    </fill>
    <fill>
      <patternFill patternType="solid">
        <fgColor rgb="FF2E75B6"/>
        <bgColor rgb="FF0066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0">
    <xf numFmtId="0" fontId="0" fillId="0" borderId="0" xfId="0"/>
    <xf numFmtId="0" fontId="2" fillId="0" borderId="0" xfId="0" applyFont="1" applyAlignment="1">
      <alignment horizontal="left" vertical="top" wrapText="1"/>
    </xf>
    <xf numFmtId="0" fontId="0" fillId="0" borderId="0" xfId="0" applyFont="1" applyAlignment="1">
      <alignment horizontal="left" vertical="top" wrapText="1"/>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0" fillId="0" borderId="0" xfId="0" applyFont="1" applyAlignment="1">
      <alignment horizontal="center" vertical="center"/>
    </xf>
    <xf numFmtId="0" fontId="5" fillId="7"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center"/>
    </xf>
    <xf numFmtId="14" fontId="3" fillId="5" borderId="1" xfId="0" applyNumberFormat="1" applyFont="1" applyFill="1" applyBorder="1" applyAlignment="1">
      <alignment horizontal="center" vertical="center"/>
    </xf>
    <xf numFmtId="0" fontId="3" fillId="5" borderId="1" xfId="0" applyFont="1" applyFill="1" applyBorder="1" applyAlignment="1">
      <alignment horizontal="left" vertical="top" wrapText="1"/>
    </xf>
    <xf numFmtId="0" fontId="5" fillId="7" borderId="0" xfId="0" applyFont="1" applyFill="1" applyAlignment="1">
      <alignment horizontal="center" vertical="center" wrapText="1"/>
    </xf>
    <xf numFmtId="0" fontId="6" fillId="0" borderId="1" xfId="0" applyFont="1" applyBorder="1" applyAlignment="1">
      <alignment horizontal="left" vertical="top" wrapText="1"/>
    </xf>
    <xf numFmtId="14" fontId="6" fillId="5" borderId="1" xfId="0" applyNumberFormat="1" applyFont="1" applyFill="1" applyBorder="1" applyAlignment="1">
      <alignment horizontal="left" vertical="top" wrapText="1"/>
    </xf>
    <xf numFmtId="20" fontId="6" fillId="5" borderId="1" xfId="0" applyNumberFormat="1" applyFont="1" applyFill="1" applyBorder="1" applyAlignment="1">
      <alignment horizontal="left" vertical="top" wrapText="1"/>
    </xf>
    <xf numFmtId="0" fontId="6" fillId="5" borderId="1" xfId="0" applyFont="1" applyFill="1" applyBorder="1" applyAlignment="1">
      <alignment horizontal="left" vertical="top" wrapText="1"/>
    </xf>
    <xf numFmtId="0" fontId="7" fillId="0" borderId="0" xfId="0" applyFont="1"/>
    <xf numFmtId="0" fontId="3" fillId="0" borderId="1" xfId="0" applyFont="1" applyBorder="1" applyAlignment="1">
      <alignment horizontal="center" vertical="center"/>
    </xf>
    <xf numFmtId="20" fontId="3" fillId="5"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6" borderId="1" xfId="0" applyFont="1" applyFill="1" applyBorder="1" applyAlignment="1">
      <alignment horizontal="center" vertical="center"/>
    </xf>
    <xf numFmtId="4" fontId="3" fillId="4" borderId="1" xfId="0" applyNumberFormat="1" applyFont="1" applyFill="1" applyBorder="1" applyAlignment="1">
      <alignment horizontal="center" vertical="center"/>
    </xf>
    <xf numFmtId="4" fontId="3" fillId="6" borderId="1" xfId="0" applyNumberFormat="1" applyFont="1" applyFill="1" applyBorder="1" applyAlignment="1">
      <alignment horizontal="center" vertical="center"/>
    </xf>
    <xf numFmtId="4" fontId="3" fillId="5" borderId="1" xfId="0" applyNumberFormat="1" applyFont="1" applyFill="1" applyBorder="1" applyAlignment="1">
      <alignment horizontal="center" vertical="center"/>
    </xf>
    <xf numFmtId="0" fontId="5" fillId="7" borderId="0" xfId="0" applyFont="1" applyFill="1" applyAlignment="1">
      <alignment horizontal="center" vertical="center"/>
    </xf>
    <xf numFmtId="0" fontId="2" fillId="0" borderId="1" xfId="0" applyFont="1" applyBorder="1" applyAlignment="1">
      <alignment horizontal="left" vertical="top" wrapText="1"/>
    </xf>
    <xf numFmtId="164" fontId="3" fillId="6" borderId="1" xfId="0" applyNumberFormat="1" applyFont="1" applyFill="1" applyBorder="1" applyAlignment="1">
      <alignment horizontal="center" vertical="center"/>
    </xf>
    <xf numFmtId="1" fontId="3" fillId="6" borderId="1" xfId="0" applyNumberFormat="1" applyFont="1" applyFill="1" applyBorder="1" applyAlignment="1">
      <alignment horizontal="center" vertical="center"/>
    </xf>
    <xf numFmtId="2" fontId="3" fillId="6" borderId="1" xfId="0" applyNumberFormat="1" applyFont="1" applyFill="1" applyBorder="1" applyAlignment="1">
      <alignment horizontal="center" vertical="center"/>
    </xf>
    <xf numFmtId="165" fontId="3" fillId="6" borderId="1" xfId="0" applyNumberFormat="1" applyFont="1" applyFill="1" applyBorder="1" applyAlignment="1">
      <alignment horizontal="center" vertical="center"/>
    </xf>
    <xf numFmtId="0" fontId="4" fillId="3" borderId="0" xfId="0" applyFont="1" applyFill="1" applyBorder="1"/>
    <xf numFmtId="0" fontId="1" fillId="2" borderId="0" xfId="0" applyFont="1" applyFill="1" applyBorder="1" applyAlignment="1">
      <alignment horizontal="center" vertical="center"/>
    </xf>
    <xf numFmtId="0" fontId="2" fillId="0" borderId="0" xfId="0" applyFont="1" applyBorder="1" applyAlignment="1">
      <alignment horizontal="left" vertical="top" wrapText="1"/>
    </xf>
    <xf numFmtId="0" fontId="3" fillId="0" borderId="0" xfId="0" applyFont="1" applyBorder="1"/>
    <xf numFmtId="0" fontId="0" fillId="0" borderId="0" xfId="0" applyFont="1" applyBorder="1" applyAlignment="1">
      <alignment horizontal="left" vertical="top" wrapText="1"/>
    </xf>
    <xf numFmtId="0" fontId="6" fillId="0" borderId="0" xfId="0" applyFont="1" applyBorder="1" applyAlignment="1">
      <alignment horizontal="left" vertical="top" wrapText="1"/>
    </xf>
    <xf numFmtId="164" fontId="3" fillId="5" borderId="1" xfId="0" applyNumberFormat="1" applyFont="1" applyFill="1" applyBorder="1" applyAlignment="1">
      <alignment horizontal="center" vertical="center"/>
    </xf>
    <xf numFmtId="164"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C30"/>
  <sheetViews>
    <sheetView showGridLines="0" topLeftCell="A7" zoomScaleNormal="100" workbookViewId="0">
      <selection activeCell="C11" sqref="C11"/>
    </sheetView>
  </sheetViews>
  <sheetFormatPr baseColWidth="10" defaultColWidth="8.7109375" defaultRowHeight="15" x14ac:dyDescent="0.25"/>
  <cols>
    <col min="1" max="1" width="3" customWidth="1"/>
    <col min="2" max="2" width="42" customWidth="1"/>
    <col min="3" max="3" width="90" customWidth="1"/>
  </cols>
  <sheetData>
    <row r="1" spans="1:3" ht="30" customHeight="1" x14ac:dyDescent="0.25">
      <c r="A1" s="32" t="s">
        <v>0</v>
      </c>
      <c r="B1" s="32"/>
      <c r="C1" s="32"/>
    </row>
    <row r="3" spans="1:3" ht="15" customHeight="1" x14ac:dyDescent="0.25">
      <c r="B3" s="33" t="s">
        <v>1</v>
      </c>
      <c r="C3" s="33"/>
    </row>
    <row r="4" spans="1:3" x14ac:dyDescent="0.25">
      <c r="B4" s="34" t="s">
        <v>2</v>
      </c>
      <c r="C4" s="34"/>
    </row>
    <row r="6" spans="1:3" x14ac:dyDescent="0.25">
      <c r="B6" s="31" t="s">
        <v>3</v>
      </c>
      <c r="C6" s="31"/>
    </row>
    <row r="7" spans="1:3" ht="94.5" customHeight="1" x14ac:dyDescent="0.25">
      <c r="B7" s="35" t="s">
        <v>4</v>
      </c>
      <c r="C7" s="35"/>
    </row>
    <row r="9" spans="1:3" x14ac:dyDescent="0.25">
      <c r="B9" s="31" t="s">
        <v>5</v>
      </c>
      <c r="C9" s="31"/>
    </row>
    <row r="10" spans="1:3" ht="42" customHeight="1" x14ac:dyDescent="0.25">
      <c r="B10" s="1" t="s">
        <v>6</v>
      </c>
      <c r="C10" s="2" t="s">
        <v>7</v>
      </c>
    </row>
    <row r="11" spans="1:3" ht="42" customHeight="1" x14ac:dyDescent="0.25">
      <c r="B11" s="1" t="s">
        <v>8</v>
      </c>
      <c r="C11" s="2" t="s">
        <v>9</v>
      </c>
    </row>
    <row r="12" spans="1:3" ht="42" customHeight="1" x14ac:dyDescent="0.25">
      <c r="B12" s="1" t="s">
        <v>10</v>
      </c>
      <c r="C12" s="2" t="s">
        <v>11</v>
      </c>
    </row>
    <row r="13" spans="1:3" ht="42" customHeight="1" x14ac:dyDescent="0.25">
      <c r="B13" s="1" t="s">
        <v>12</v>
      </c>
      <c r="C13" s="2" t="s">
        <v>13</v>
      </c>
    </row>
    <row r="14" spans="1:3" ht="42" customHeight="1" x14ac:dyDescent="0.25">
      <c r="B14" s="1" t="s">
        <v>14</v>
      </c>
      <c r="C14" s="2" t="s">
        <v>15</v>
      </c>
    </row>
    <row r="15" spans="1:3" ht="42" customHeight="1" x14ac:dyDescent="0.25">
      <c r="B15" s="1" t="s">
        <v>16</v>
      </c>
      <c r="C15" s="2" t="s">
        <v>17</v>
      </c>
    </row>
    <row r="16" spans="1:3" ht="42" customHeight="1" x14ac:dyDescent="0.25">
      <c r="B16" s="1" t="s">
        <v>18</v>
      </c>
      <c r="C16" s="2" t="s">
        <v>19</v>
      </c>
    </row>
    <row r="18" spans="2:3" x14ac:dyDescent="0.25">
      <c r="B18" s="31" t="s">
        <v>20</v>
      </c>
      <c r="C18" s="31"/>
    </row>
    <row r="19" spans="2:3" x14ac:dyDescent="0.25">
      <c r="B19" s="3" t="s">
        <v>21</v>
      </c>
      <c r="C19" s="2" t="s">
        <v>22</v>
      </c>
    </row>
    <row r="20" spans="2:3" x14ac:dyDescent="0.25">
      <c r="B20" s="4" t="s">
        <v>23</v>
      </c>
      <c r="C20" s="2" t="s">
        <v>24</v>
      </c>
    </row>
    <row r="21" spans="2:3" x14ac:dyDescent="0.25">
      <c r="B21" s="5" t="s">
        <v>25</v>
      </c>
      <c r="C21" s="2" t="s">
        <v>26</v>
      </c>
    </row>
    <row r="23" spans="2:3" x14ac:dyDescent="0.25">
      <c r="B23" s="31" t="s">
        <v>27</v>
      </c>
      <c r="C23" s="31"/>
    </row>
    <row r="24" spans="2:3" ht="30" customHeight="1" x14ac:dyDescent="0.25">
      <c r="B24" s="6" t="s">
        <v>28</v>
      </c>
      <c r="C24" s="2" t="s">
        <v>29</v>
      </c>
    </row>
    <row r="25" spans="2:3" ht="30" customHeight="1" x14ac:dyDescent="0.25">
      <c r="B25" s="6" t="s">
        <v>28</v>
      </c>
      <c r="C25" s="2" t="s">
        <v>30</v>
      </c>
    </row>
    <row r="26" spans="2:3" ht="30" customHeight="1" x14ac:dyDescent="0.25">
      <c r="B26" s="6" t="s">
        <v>28</v>
      </c>
      <c r="C26" s="2" t="s">
        <v>31</v>
      </c>
    </row>
    <row r="27" spans="2:3" ht="30" customHeight="1" x14ac:dyDescent="0.25">
      <c r="B27" s="6" t="s">
        <v>28</v>
      </c>
      <c r="C27" s="2" t="s">
        <v>32</v>
      </c>
    </row>
    <row r="28" spans="2:3" ht="30" customHeight="1" x14ac:dyDescent="0.25">
      <c r="B28" s="6" t="s">
        <v>28</v>
      </c>
      <c r="C28" s="2" t="s">
        <v>33</v>
      </c>
    </row>
    <row r="29" spans="2:3" ht="30" customHeight="1" x14ac:dyDescent="0.25">
      <c r="B29" s="6" t="s">
        <v>28</v>
      </c>
      <c r="C29" s="2" t="s">
        <v>34</v>
      </c>
    </row>
    <row r="30" spans="2:3" ht="30" customHeight="1" x14ac:dyDescent="0.25">
      <c r="B30" s="6" t="s">
        <v>28</v>
      </c>
      <c r="C30" s="2" t="s">
        <v>35</v>
      </c>
    </row>
  </sheetData>
  <mergeCells count="8">
    <mergeCell ref="B9:C9"/>
    <mergeCell ref="B18:C18"/>
    <mergeCell ref="B23:C23"/>
    <mergeCell ref="A1:C1"/>
    <mergeCell ref="B3:C3"/>
    <mergeCell ref="B4:C4"/>
    <mergeCell ref="B6:C6"/>
    <mergeCell ref="B7:C7"/>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H13"/>
  <sheetViews>
    <sheetView showGridLines="0" zoomScaleNormal="100" workbookViewId="0">
      <pane ySplit="3" topLeftCell="A4" activePane="bottomLeft" state="frozen"/>
      <selection pane="bottomLeft" activeCell="D11" sqref="D11"/>
    </sheetView>
  </sheetViews>
  <sheetFormatPr baseColWidth="10" defaultColWidth="8.7109375" defaultRowHeight="15" x14ac:dyDescent="0.25"/>
  <cols>
    <col min="1" max="1" width="4" customWidth="1"/>
    <col min="2" max="2" width="26" customWidth="1"/>
    <col min="3" max="3" width="22" customWidth="1"/>
    <col min="4" max="5" width="26" customWidth="1"/>
    <col min="6" max="6" width="15.28515625" bestFit="1" customWidth="1"/>
    <col min="7" max="7" width="14" customWidth="1"/>
    <col min="8" max="8" width="71.42578125" customWidth="1"/>
  </cols>
  <sheetData>
    <row r="1" spans="1:8" ht="25.5" customHeight="1" x14ac:dyDescent="0.25">
      <c r="A1" s="32" t="s">
        <v>36</v>
      </c>
      <c r="B1" s="32"/>
      <c r="C1" s="32"/>
      <c r="D1" s="32"/>
      <c r="E1" s="32"/>
      <c r="F1" s="32"/>
      <c r="G1" s="32"/>
      <c r="H1" s="32"/>
    </row>
    <row r="3" spans="1:8" ht="30" customHeight="1" x14ac:dyDescent="0.25">
      <c r="A3" s="7" t="s">
        <v>37</v>
      </c>
      <c r="B3" s="7" t="s">
        <v>38</v>
      </c>
      <c r="C3" s="7" t="s">
        <v>39</v>
      </c>
      <c r="D3" s="7" t="s">
        <v>40</v>
      </c>
      <c r="E3" s="7" t="s">
        <v>41</v>
      </c>
      <c r="F3" s="7" t="s">
        <v>42</v>
      </c>
      <c r="G3" s="7" t="s">
        <v>43</v>
      </c>
      <c r="H3" s="7" t="s">
        <v>44</v>
      </c>
    </row>
    <row r="4" spans="1:8" ht="38.25" x14ac:dyDescent="0.25">
      <c r="A4" s="8" t="s">
        <v>45</v>
      </c>
      <c r="B4" s="8" t="s">
        <v>46</v>
      </c>
      <c r="C4" s="8" t="s">
        <v>47</v>
      </c>
      <c r="D4" s="8" t="s">
        <v>48</v>
      </c>
      <c r="E4" s="8" t="s">
        <v>49</v>
      </c>
      <c r="F4" s="9" t="s">
        <v>237</v>
      </c>
      <c r="G4" s="10">
        <v>46304</v>
      </c>
      <c r="H4" s="11" t="s">
        <v>238</v>
      </c>
    </row>
    <row r="5" spans="1:8" ht="45.75" customHeight="1" x14ac:dyDescent="0.25">
      <c r="A5" s="8" t="s">
        <v>50</v>
      </c>
      <c r="B5" s="8" t="s">
        <v>51</v>
      </c>
      <c r="C5" s="8" t="s">
        <v>52</v>
      </c>
      <c r="D5" s="8" t="s">
        <v>53</v>
      </c>
      <c r="E5" s="8" t="s">
        <v>54</v>
      </c>
      <c r="F5" s="9" t="s">
        <v>237</v>
      </c>
      <c r="G5" s="10">
        <v>46304</v>
      </c>
      <c r="H5" s="11" t="s">
        <v>239</v>
      </c>
    </row>
    <row r="6" spans="1:8" ht="45.75" customHeight="1" x14ac:dyDescent="0.25">
      <c r="A6" s="8" t="s">
        <v>55</v>
      </c>
      <c r="B6" s="8" t="s">
        <v>56</v>
      </c>
      <c r="C6" s="8" t="s">
        <v>57</v>
      </c>
      <c r="D6" s="8" t="s">
        <v>58</v>
      </c>
      <c r="E6" s="8" t="s">
        <v>59</v>
      </c>
      <c r="F6" s="9" t="s">
        <v>237</v>
      </c>
      <c r="G6" s="10">
        <v>46304</v>
      </c>
      <c r="H6" s="11" t="s">
        <v>240</v>
      </c>
    </row>
    <row r="7" spans="1:8" ht="45.75" customHeight="1" x14ac:dyDescent="0.25">
      <c r="A7" s="8" t="s">
        <v>60</v>
      </c>
      <c r="B7" s="8" t="s">
        <v>61</v>
      </c>
      <c r="C7" s="8" t="s">
        <v>47</v>
      </c>
      <c r="D7" s="8" t="s">
        <v>62</v>
      </c>
      <c r="E7" s="8" t="s">
        <v>63</v>
      </c>
      <c r="F7" s="9" t="s">
        <v>237</v>
      </c>
      <c r="G7" s="10">
        <v>46304</v>
      </c>
      <c r="H7" s="11" t="s">
        <v>241</v>
      </c>
    </row>
    <row r="8" spans="1:8" ht="45.75" customHeight="1" x14ac:dyDescent="0.25">
      <c r="A8" s="8" t="s">
        <v>64</v>
      </c>
      <c r="B8" s="8" t="s">
        <v>65</v>
      </c>
      <c r="C8" s="8" t="s">
        <v>66</v>
      </c>
      <c r="D8" s="8" t="s">
        <v>67</v>
      </c>
      <c r="E8" s="8" t="s">
        <v>68</v>
      </c>
      <c r="F8" s="9" t="s">
        <v>237</v>
      </c>
      <c r="G8" s="10">
        <v>46304</v>
      </c>
      <c r="H8" s="11" t="s">
        <v>242</v>
      </c>
    </row>
    <row r="9" spans="1:8" ht="45.75" customHeight="1" x14ac:dyDescent="0.25">
      <c r="A9" s="8" t="s">
        <v>69</v>
      </c>
      <c r="B9" s="8" t="s">
        <v>70</v>
      </c>
      <c r="C9" s="8" t="s">
        <v>71</v>
      </c>
      <c r="D9" s="8" t="s">
        <v>72</v>
      </c>
      <c r="E9" s="8" t="s">
        <v>73</v>
      </c>
      <c r="F9" s="9" t="s">
        <v>237</v>
      </c>
      <c r="G9" s="10">
        <v>46304</v>
      </c>
      <c r="H9" s="11" t="s">
        <v>243</v>
      </c>
    </row>
    <row r="10" spans="1:8" ht="45.75" customHeight="1" x14ac:dyDescent="0.25">
      <c r="A10" s="8" t="s">
        <v>74</v>
      </c>
      <c r="B10" s="8" t="s">
        <v>75</v>
      </c>
      <c r="C10" s="8" t="s">
        <v>76</v>
      </c>
      <c r="D10" s="8" t="s">
        <v>77</v>
      </c>
      <c r="E10" s="8" t="s">
        <v>78</v>
      </c>
      <c r="F10" s="9" t="s">
        <v>237</v>
      </c>
      <c r="G10" s="10">
        <v>46304</v>
      </c>
      <c r="H10" s="11" t="s">
        <v>244</v>
      </c>
    </row>
    <row r="11" spans="1:8" ht="51" x14ac:dyDescent="0.25">
      <c r="A11" s="8" t="s">
        <v>79</v>
      </c>
      <c r="B11" s="8" t="s">
        <v>80</v>
      </c>
      <c r="C11" s="8" t="s">
        <v>81</v>
      </c>
      <c r="D11" s="8" t="s">
        <v>82</v>
      </c>
      <c r="E11" s="8" t="s">
        <v>83</v>
      </c>
      <c r="F11" s="9" t="s">
        <v>237</v>
      </c>
      <c r="G11" s="10">
        <v>46304</v>
      </c>
      <c r="H11" s="11" t="s">
        <v>245</v>
      </c>
    </row>
    <row r="13" spans="1:8" ht="39.75" customHeight="1" x14ac:dyDescent="0.25">
      <c r="B13" s="36" t="s">
        <v>84</v>
      </c>
      <c r="C13" s="36"/>
      <c r="D13" s="36"/>
      <c r="E13" s="36"/>
      <c r="F13" s="36"/>
      <c r="G13" s="36"/>
      <c r="H13" s="36"/>
    </row>
  </sheetData>
  <mergeCells count="2">
    <mergeCell ref="A1:H1"/>
    <mergeCell ref="B13:H13"/>
  </mergeCells>
  <dataValidations count="1">
    <dataValidation type="list" allowBlank="1" sqref="F4:F11" xr:uid="{00000000-0002-0000-0100-000000000000}">
      <formula1>"Sí,No"</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K19"/>
  <sheetViews>
    <sheetView showGridLines="0" tabSelected="1" zoomScaleNormal="100" workbookViewId="0">
      <pane ySplit="3" topLeftCell="A15" activePane="bottomLeft" state="frozen"/>
      <selection pane="bottomLeft" activeCell="I16" sqref="I16"/>
    </sheetView>
  </sheetViews>
  <sheetFormatPr baseColWidth="10" defaultColWidth="8.7109375" defaultRowHeight="15" x14ac:dyDescent="0.25"/>
  <cols>
    <col min="1" max="1" width="7" customWidth="1"/>
    <col min="2" max="2" width="8.7109375" bestFit="1" customWidth="1"/>
    <col min="3" max="3" width="9" customWidth="1"/>
    <col min="4" max="4" width="40" customWidth="1"/>
    <col min="5" max="5" width="9" customWidth="1"/>
    <col min="6" max="6" width="20" customWidth="1"/>
    <col min="7" max="7" width="21.5703125" bestFit="1" customWidth="1"/>
    <col min="8" max="8" width="10.42578125" bestFit="1" customWidth="1"/>
    <col min="9" max="9" width="16.140625" bestFit="1" customWidth="1"/>
    <col min="10" max="10" width="15.42578125" bestFit="1" customWidth="1"/>
    <col min="11" max="11" width="93.140625" customWidth="1"/>
  </cols>
  <sheetData>
    <row r="1" spans="1:11" ht="25.5" customHeight="1" x14ac:dyDescent="0.25">
      <c r="A1" s="32" t="s">
        <v>85</v>
      </c>
      <c r="B1" s="32"/>
      <c r="C1" s="32"/>
      <c r="D1" s="32"/>
      <c r="E1" s="32"/>
      <c r="F1" s="32"/>
      <c r="G1" s="32"/>
      <c r="H1" s="32"/>
      <c r="I1" s="32"/>
      <c r="J1" s="32"/>
      <c r="K1" s="32"/>
    </row>
    <row r="3" spans="1:11" ht="30" customHeight="1" x14ac:dyDescent="0.25">
      <c r="A3" s="7" t="s">
        <v>86</v>
      </c>
      <c r="B3" s="7" t="s">
        <v>87</v>
      </c>
      <c r="C3" s="7" t="s">
        <v>88</v>
      </c>
      <c r="D3" s="7" t="s">
        <v>89</v>
      </c>
      <c r="E3" s="7" t="s">
        <v>90</v>
      </c>
      <c r="F3" s="7" t="s">
        <v>91</v>
      </c>
      <c r="G3" s="7" t="s">
        <v>92</v>
      </c>
      <c r="H3" s="7" t="s">
        <v>43</v>
      </c>
      <c r="I3" s="7" t="s">
        <v>93</v>
      </c>
      <c r="J3" s="7" t="s">
        <v>94</v>
      </c>
      <c r="K3" s="7" t="s">
        <v>95</v>
      </c>
    </row>
    <row r="4" spans="1:11" ht="51" x14ac:dyDescent="0.25">
      <c r="A4" s="8" t="s">
        <v>96</v>
      </c>
      <c r="B4" s="8" t="s">
        <v>64</v>
      </c>
      <c r="C4" s="8" t="s">
        <v>97</v>
      </c>
      <c r="D4" s="8" t="s">
        <v>98</v>
      </c>
      <c r="E4" s="8" t="s">
        <v>99</v>
      </c>
      <c r="F4" s="8" t="s">
        <v>100</v>
      </c>
      <c r="G4" s="9" t="s">
        <v>237</v>
      </c>
      <c r="H4" s="10">
        <v>46304</v>
      </c>
      <c r="I4" s="9"/>
      <c r="J4" s="9"/>
      <c r="K4" s="11" t="s">
        <v>246</v>
      </c>
    </row>
    <row r="5" spans="1:11" ht="102" x14ac:dyDescent="0.25">
      <c r="A5" s="8" t="s">
        <v>101</v>
      </c>
      <c r="B5" s="8" t="s">
        <v>74</v>
      </c>
      <c r="C5" s="8" t="s">
        <v>102</v>
      </c>
      <c r="D5" s="8" t="s">
        <v>103</v>
      </c>
      <c r="E5" s="8" t="s">
        <v>99</v>
      </c>
      <c r="F5" s="8" t="s">
        <v>104</v>
      </c>
      <c r="G5" s="9" t="s">
        <v>237</v>
      </c>
      <c r="H5" s="10">
        <v>46304</v>
      </c>
      <c r="I5" s="9"/>
      <c r="J5" s="9"/>
      <c r="K5" s="11" t="s">
        <v>247</v>
      </c>
    </row>
    <row r="6" spans="1:11" ht="89.25" x14ac:dyDescent="0.25">
      <c r="A6" s="8" t="s">
        <v>105</v>
      </c>
      <c r="B6" s="8" t="s">
        <v>60</v>
      </c>
      <c r="C6" s="8" t="s">
        <v>106</v>
      </c>
      <c r="D6" s="8" t="s">
        <v>107</v>
      </c>
      <c r="E6" s="8" t="s">
        <v>99</v>
      </c>
      <c r="F6" s="8" t="s">
        <v>108</v>
      </c>
      <c r="G6" s="9" t="s">
        <v>237</v>
      </c>
      <c r="H6" s="10">
        <v>46304</v>
      </c>
      <c r="I6" s="9"/>
      <c r="J6" s="9"/>
      <c r="K6" s="11" t="s">
        <v>248</v>
      </c>
    </row>
    <row r="7" spans="1:11" ht="89.25" x14ac:dyDescent="0.25">
      <c r="A7" s="8" t="s">
        <v>109</v>
      </c>
      <c r="B7" s="8" t="s">
        <v>79</v>
      </c>
      <c r="C7" s="8" t="s">
        <v>110</v>
      </c>
      <c r="D7" s="8" t="s">
        <v>111</v>
      </c>
      <c r="E7" s="8" t="s">
        <v>99</v>
      </c>
      <c r="F7" s="8" t="s">
        <v>112</v>
      </c>
      <c r="G7" s="9" t="s">
        <v>237</v>
      </c>
      <c r="H7" s="10">
        <v>46311</v>
      </c>
      <c r="I7" s="9"/>
      <c r="J7" s="9"/>
      <c r="K7" s="11" t="s">
        <v>249</v>
      </c>
    </row>
    <row r="8" spans="1:11" ht="102" x14ac:dyDescent="0.25">
      <c r="A8" s="8" t="s">
        <v>113</v>
      </c>
      <c r="B8" s="8" t="s">
        <v>50</v>
      </c>
      <c r="C8" s="8" t="s">
        <v>114</v>
      </c>
      <c r="D8" s="8" t="s">
        <v>115</v>
      </c>
      <c r="E8" s="8" t="s">
        <v>116</v>
      </c>
      <c r="F8" s="8" t="s">
        <v>117</v>
      </c>
      <c r="G8" s="9" t="s">
        <v>178</v>
      </c>
      <c r="H8" s="10">
        <v>46311</v>
      </c>
      <c r="I8" s="9"/>
      <c r="J8" s="9"/>
      <c r="K8" s="11" t="s">
        <v>250</v>
      </c>
    </row>
    <row r="9" spans="1:11" ht="89.25" x14ac:dyDescent="0.25">
      <c r="A9" s="8" t="s">
        <v>118</v>
      </c>
      <c r="B9" s="8" t="s">
        <v>50</v>
      </c>
      <c r="C9" s="8" t="s">
        <v>114</v>
      </c>
      <c r="D9" s="8" t="s">
        <v>119</v>
      </c>
      <c r="E9" s="8" t="s">
        <v>116</v>
      </c>
      <c r="F9" s="8" t="s">
        <v>117</v>
      </c>
      <c r="G9" s="9" t="s">
        <v>237</v>
      </c>
      <c r="H9" s="10">
        <v>46311</v>
      </c>
      <c r="I9" s="9"/>
      <c r="J9" s="9"/>
      <c r="K9" s="11" t="s">
        <v>251</v>
      </c>
    </row>
    <row r="10" spans="1:11" ht="114.75" x14ac:dyDescent="0.25">
      <c r="A10" s="8" t="s">
        <v>120</v>
      </c>
      <c r="B10" s="8" t="s">
        <v>55</v>
      </c>
      <c r="C10" s="8" t="s">
        <v>121</v>
      </c>
      <c r="D10" s="8" t="s">
        <v>122</v>
      </c>
      <c r="E10" s="8" t="s">
        <v>116</v>
      </c>
      <c r="F10" s="8" t="s">
        <v>123</v>
      </c>
      <c r="G10" s="9" t="s">
        <v>237</v>
      </c>
      <c r="H10" s="10">
        <v>46311</v>
      </c>
      <c r="I10" s="9"/>
      <c r="J10" s="9"/>
      <c r="K10" s="11" t="s">
        <v>252</v>
      </c>
    </row>
    <row r="11" spans="1:11" ht="102" x14ac:dyDescent="0.25">
      <c r="A11" s="8" t="s">
        <v>124</v>
      </c>
      <c r="B11" s="8" t="s">
        <v>50</v>
      </c>
      <c r="C11" s="8" t="s">
        <v>125</v>
      </c>
      <c r="D11" s="8" t="s">
        <v>126</v>
      </c>
      <c r="E11" s="8" t="s">
        <v>116</v>
      </c>
      <c r="F11" s="8" t="s">
        <v>127</v>
      </c>
      <c r="G11" s="9" t="s">
        <v>237</v>
      </c>
      <c r="H11" s="10">
        <v>46311</v>
      </c>
      <c r="I11" s="9"/>
      <c r="J11" s="9"/>
      <c r="K11" s="11" t="s">
        <v>253</v>
      </c>
    </row>
    <row r="12" spans="1:11" ht="127.5" x14ac:dyDescent="0.25">
      <c r="A12" s="8" t="s">
        <v>128</v>
      </c>
      <c r="B12" s="8" t="s">
        <v>69</v>
      </c>
      <c r="C12" s="8" t="s">
        <v>129</v>
      </c>
      <c r="D12" s="8" t="s">
        <v>130</v>
      </c>
      <c r="E12" s="8" t="s">
        <v>116</v>
      </c>
      <c r="F12" s="8" t="s">
        <v>131</v>
      </c>
      <c r="G12" s="9" t="s">
        <v>237</v>
      </c>
      <c r="H12" s="10">
        <v>46311</v>
      </c>
      <c r="I12" s="9"/>
      <c r="J12" s="9"/>
      <c r="K12" s="11" t="s">
        <v>254</v>
      </c>
    </row>
    <row r="13" spans="1:11" ht="191.25" x14ac:dyDescent="0.25">
      <c r="A13" s="8" t="s">
        <v>132</v>
      </c>
      <c r="B13" s="8" t="s">
        <v>74</v>
      </c>
      <c r="C13" s="8" t="s">
        <v>133</v>
      </c>
      <c r="D13" s="8" t="s">
        <v>134</v>
      </c>
      <c r="E13" s="8" t="s">
        <v>116</v>
      </c>
      <c r="F13" s="8" t="s">
        <v>135</v>
      </c>
      <c r="G13" s="9" t="s">
        <v>237</v>
      </c>
      <c r="H13" s="10">
        <v>46311</v>
      </c>
      <c r="I13" s="9"/>
      <c r="J13" s="9"/>
      <c r="K13" s="11" t="s">
        <v>255</v>
      </c>
    </row>
    <row r="14" spans="1:11" ht="255" x14ac:dyDescent="0.25">
      <c r="A14" s="8" t="s">
        <v>136</v>
      </c>
      <c r="B14" s="8" t="s">
        <v>45</v>
      </c>
      <c r="C14" s="8" t="s">
        <v>137</v>
      </c>
      <c r="D14" s="8" t="s">
        <v>138</v>
      </c>
      <c r="E14" s="8" t="s">
        <v>139</v>
      </c>
      <c r="F14" s="8" t="s">
        <v>140</v>
      </c>
      <c r="G14" s="9" t="s">
        <v>237</v>
      </c>
      <c r="H14" s="10">
        <v>46316</v>
      </c>
      <c r="I14" s="9"/>
      <c r="J14" s="9"/>
      <c r="K14" s="11" t="s">
        <v>256</v>
      </c>
    </row>
    <row r="15" spans="1:11" ht="204" x14ac:dyDescent="0.25">
      <c r="A15" s="8" t="s">
        <v>141</v>
      </c>
      <c r="B15" s="8" t="s">
        <v>45</v>
      </c>
      <c r="C15" s="8" t="s">
        <v>137</v>
      </c>
      <c r="D15" s="8" t="s">
        <v>142</v>
      </c>
      <c r="E15" s="8" t="s">
        <v>139</v>
      </c>
      <c r="F15" s="8" t="s">
        <v>140</v>
      </c>
      <c r="G15" s="9" t="s">
        <v>237</v>
      </c>
      <c r="H15" s="10">
        <v>46316</v>
      </c>
      <c r="I15" s="9"/>
      <c r="J15" s="9"/>
      <c r="K15" s="11" t="s">
        <v>257</v>
      </c>
    </row>
    <row r="16" spans="1:11" ht="153" x14ac:dyDescent="0.25">
      <c r="A16" s="8" t="s">
        <v>143</v>
      </c>
      <c r="B16" s="8" t="s">
        <v>50</v>
      </c>
      <c r="C16" s="8" t="s">
        <v>144</v>
      </c>
      <c r="D16" s="8" t="s">
        <v>145</v>
      </c>
      <c r="E16" s="8" t="s">
        <v>139</v>
      </c>
      <c r="F16" s="8" t="s">
        <v>146</v>
      </c>
      <c r="G16" s="9" t="s">
        <v>237</v>
      </c>
      <c r="H16" s="10">
        <v>46316</v>
      </c>
      <c r="I16" s="9"/>
      <c r="J16" s="9"/>
      <c r="K16" s="11" t="s">
        <v>258</v>
      </c>
    </row>
    <row r="17" spans="1:11" ht="114.75" x14ac:dyDescent="0.25">
      <c r="A17" s="8" t="s">
        <v>147</v>
      </c>
      <c r="B17" s="8" t="s">
        <v>79</v>
      </c>
      <c r="C17" s="8" t="s">
        <v>148</v>
      </c>
      <c r="D17" s="8" t="s">
        <v>149</v>
      </c>
      <c r="E17" s="8" t="s">
        <v>139</v>
      </c>
      <c r="F17" s="8" t="s">
        <v>150</v>
      </c>
      <c r="G17" s="9" t="s">
        <v>237</v>
      </c>
      <c r="H17" s="10">
        <v>46316</v>
      </c>
      <c r="I17" s="9"/>
      <c r="J17" s="9"/>
      <c r="K17" s="11" t="s">
        <v>259</v>
      </c>
    </row>
    <row r="19" spans="1:11" ht="45" customHeight="1" x14ac:dyDescent="0.25">
      <c r="B19" s="36" t="s">
        <v>151</v>
      </c>
      <c r="C19" s="36"/>
      <c r="D19" s="36"/>
      <c r="E19" s="36"/>
      <c r="F19" s="36"/>
      <c r="G19" s="36"/>
      <c r="H19" s="36"/>
      <c r="I19" s="36"/>
      <c r="J19" s="36"/>
      <c r="K19" s="36"/>
    </row>
  </sheetData>
  <mergeCells count="2">
    <mergeCell ref="A1:K1"/>
    <mergeCell ref="B19:K19"/>
  </mergeCells>
  <dataValidations count="1">
    <dataValidation type="list" allowBlank="1" sqref="G4:G17" xr:uid="{00000000-0002-0000-0200-000000000000}">
      <formula1>"Sí,No"</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R173"/>
  <sheetViews>
    <sheetView showGridLines="0" zoomScaleNormal="100" workbookViewId="0">
      <pane ySplit="3" topLeftCell="A4" activePane="bottomLeft" state="frozen"/>
      <selection pane="bottomLeft" activeCell="E4" sqref="E4"/>
    </sheetView>
  </sheetViews>
  <sheetFormatPr baseColWidth="10" defaultColWidth="8.7109375" defaultRowHeight="15" x14ac:dyDescent="0.25"/>
  <cols>
    <col min="1" max="1" width="6" customWidth="1"/>
    <col min="2" max="2" width="12" customWidth="1"/>
    <col min="3" max="3" width="9" customWidth="1"/>
    <col min="4" max="4" width="8" customWidth="1"/>
    <col min="5" max="5" width="13" customWidth="1"/>
    <col min="6" max="6" width="16" customWidth="1"/>
    <col min="7" max="7" width="9" customWidth="1"/>
    <col min="8" max="8" width="11" customWidth="1"/>
    <col min="9" max="9" width="12" customWidth="1"/>
    <col min="10" max="11" width="34" customWidth="1"/>
    <col min="12" max="13" width="13" customWidth="1"/>
    <col min="14" max="14" width="12" customWidth="1"/>
    <col min="15" max="15" width="10" customWidth="1"/>
    <col min="16" max="16" width="20" customWidth="1"/>
    <col min="17" max="17" width="30" customWidth="1"/>
    <col min="18" max="18" width="32" customWidth="1"/>
  </cols>
  <sheetData>
    <row r="1" spans="1:18" ht="25.5" customHeight="1" x14ac:dyDescent="0.25">
      <c r="A1" s="32" t="s">
        <v>152</v>
      </c>
      <c r="B1" s="32"/>
      <c r="C1" s="32"/>
      <c r="D1" s="32"/>
      <c r="E1" s="32"/>
      <c r="F1" s="32"/>
      <c r="G1" s="32"/>
      <c r="H1" s="32"/>
      <c r="I1" s="32"/>
      <c r="J1" s="32"/>
      <c r="K1" s="32"/>
      <c r="L1" s="32"/>
      <c r="M1" s="32"/>
      <c r="N1" s="32"/>
      <c r="O1" s="32"/>
      <c r="P1" s="32"/>
      <c r="Q1" s="32"/>
    </row>
    <row r="3" spans="1:18" ht="30" customHeight="1" x14ac:dyDescent="0.25">
      <c r="A3" s="7" t="s">
        <v>153</v>
      </c>
      <c r="B3" s="7" t="s">
        <v>154</v>
      </c>
      <c r="C3" s="7" t="s">
        <v>155</v>
      </c>
      <c r="D3" s="7" t="s">
        <v>156</v>
      </c>
      <c r="E3" s="7" t="s">
        <v>157</v>
      </c>
      <c r="F3" s="7" t="s">
        <v>158</v>
      </c>
      <c r="G3" s="7" t="s">
        <v>159</v>
      </c>
      <c r="H3" s="7" t="s">
        <v>160</v>
      </c>
      <c r="I3" s="7" t="s">
        <v>161</v>
      </c>
      <c r="J3" s="7" t="s">
        <v>162</v>
      </c>
      <c r="K3" s="7" t="s">
        <v>163</v>
      </c>
      <c r="L3" s="7" t="s">
        <v>164</v>
      </c>
      <c r="M3" s="7" t="s">
        <v>165</v>
      </c>
      <c r="N3" s="7" t="s">
        <v>166</v>
      </c>
      <c r="O3" s="7" t="s">
        <v>167</v>
      </c>
      <c r="P3" s="7" t="s">
        <v>168</v>
      </c>
      <c r="Q3" s="7" t="s">
        <v>95</v>
      </c>
      <c r="R3" s="12" t="s">
        <v>169</v>
      </c>
    </row>
    <row r="4" spans="1:18" ht="18" customHeight="1" x14ac:dyDescent="0.25">
      <c r="A4" s="13">
        <v>1</v>
      </c>
      <c r="B4" s="14" t="s">
        <v>170</v>
      </c>
      <c r="C4" s="15" t="s">
        <v>171</v>
      </c>
      <c r="D4" s="16" t="s">
        <v>172</v>
      </c>
      <c r="E4" s="16" t="s">
        <v>173</v>
      </c>
      <c r="F4" s="16" t="s">
        <v>174</v>
      </c>
      <c r="G4" s="16" t="s">
        <v>113</v>
      </c>
      <c r="H4" s="16">
        <v>1</v>
      </c>
      <c r="I4" s="16">
        <v>1</v>
      </c>
      <c r="J4" s="16" t="s">
        <v>175</v>
      </c>
      <c r="K4" s="16" t="s">
        <v>176</v>
      </c>
      <c r="L4" s="16" t="s">
        <v>177</v>
      </c>
      <c r="M4" s="16" t="s">
        <v>177</v>
      </c>
      <c r="N4" s="16" t="s">
        <v>178</v>
      </c>
      <c r="O4" s="16">
        <v>22</v>
      </c>
      <c r="P4" s="16"/>
      <c r="Q4" s="16" t="s">
        <v>179</v>
      </c>
      <c r="R4" s="17" t="str">
        <f t="shared" ref="R4:R35" si="0">G4&amp;"|"&amp;E4&amp;"|"&amp;H4&amp;"|"&amp;I4</f>
        <v>TC-05|OpenCode|1|1</v>
      </c>
    </row>
    <row r="5" spans="1:18" ht="18" customHeight="1" x14ac:dyDescent="0.25">
      <c r="A5" s="18">
        <v>2</v>
      </c>
      <c r="B5" s="10"/>
      <c r="C5" s="19"/>
      <c r="D5" s="9"/>
      <c r="E5" s="9"/>
      <c r="F5" s="11"/>
      <c r="G5" s="9"/>
      <c r="H5" s="9"/>
      <c r="I5" s="9"/>
      <c r="J5" s="11"/>
      <c r="K5" s="11"/>
      <c r="L5" s="9"/>
      <c r="M5" s="9"/>
      <c r="N5" s="9"/>
      <c r="O5" s="9"/>
      <c r="P5" s="11"/>
      <c r="Q5" s="11"/>
      <c r="R5" s="17" t="str">
        <f t="shared" si="0"/>
        <v>|||</v>
      </c>
    </row>
    <row r="6" spans="1:18" ht="18" customHeight="1" x14ac:dyDescent="0.25">
      <c r="A6" s="18">
        <v>3</v>
      </c>
      <c r="B6" s="10"/>
      <c r="C6" s="19"/>
      <c r="D6" s="9"/>
      <c r="E6" s="9"/>
      <c r="F6" s="11"/>
      <c r="G6" s="9"/>
      <c r="H6" s="9"/>
      <c r="I6" s="9"/>
      <c r="J6" s="11"/>
      <c r="K6" s="11"/>
      <c r="L6" s="9"/>
      <c r="M6" s="9"/>
      <c r="N6" s="9"/>
      <c r="O6" s="9"/>
      <c r="P6" s="11"/>
      <c r="Q6" s="11"/>
      <c r="R6" s="17" t="str">
        <f t="shared" si="0"/>
        <v>|||</v>
      </c>
    </row>
    <row r="7" spans="1:18" ht="18" customHeight="1" x14ac:dyDescent="0.25">
      <c r="A7" s="18">
        <v>4</v>
      </c>
      <c r="B7" s="10"/>
      <c r="C7" s="19"/>
      <c r="D7" s="9"/>
      <c r="E7" s="9"/>
      <c r="F7" s="11"/>
      <c r="G7" s="9"/>
      <c r="H7" s="9"/>
      <c r="I7" s="9"/>
      <c r="J7" s="11"/>
      <c r="K7" s="11"/>
      <c r="L7" s="9"/>
      <c r="M7" s="9"/>
      <c r="N7" s="9"/>
      <c r="O7" s="9"/>
      <c r="P7" s="11"/>
      <c r="Q7" s="11"/>
      <c r="R7" s="17" t="str">
        <f t="shared" si="0"/>
        <v>|||</v>
      </c>
    </row>
    <row r="8" spans="1:18" ht="18" customHeight="1" x14ac:dyDescent="0.25">
      <c r="A8" s="18">
        <v>5</v>
      </c>
      <c r="B8" s="10"/>
      <c r="C8" s="19"/>
      <c r="D8" s="9"/>
      <c r="E8" s="9"/>
      <c r="F8" s="11"/>
      <c r="G8" s="9"/>
      <c r="H8" s="9"/>
      <c r="I8" s="9"/>
      <c r="J8" s="11"/>
      <c r="K8" s="11"/>
      <c r="L8" s="9"/>
      <c r="M8" s="9"/>
      <c r="N8" s="9"/>
      <c r="O8" s="9"/>
      <c r="P8" s="11"/>
      <c r="Q8" s="11"/>
      <c r="R8" s="17" t="str">
        <f t="shared" si="0"/>
        <v>|||</v>
      </c>
    </row>
    <row r="9" spans="1:18" ht="18" customHeight="1" x14ac:dyDescent="0.25">
      <c r="A9" s="18">
        <v>6</v>
      </c>
      <c r="B9" s="10"/>
      <c r="C9" s="19"/>
      <c r="D9" s="9"/>
      <c r="E9" s="9"/>
      <c r="F9" s="11"/>
      <c r="G9" s="9"/>
      <c r="H9" s="9"/>
      <c r="I9" s="9"/>
      <c r="J9" s="11"/>
      <c r="K9" s="11"/>
      <c r="L9" s="9"/>
      <c r="M9" s="9"/>
      <c r="N9" s="9"/>
      <c r="O9" s="9"/>
      <c r="P9" s="11"/>
      <c r="Q9" s="11"/>
      <c r="R9" s="17" t="str">
        <f t="shared" si="0"/>
        <v>|||</v>
      </c>
    </row>
    <row r="10" spans="1:18" ht="18" customHeight="1" x14ac:dyDescent="0.25">
      <c r="A10" s="18">
        <v>7</v>
      </c>
      <c r="B10" s="10"/>
      <c r="C10" s="19"/>
      <c r="D10" s="9"/>
      <c r="E10" s="9"/>
      <c r="F10" s="11"/>
      <c r="G10" s="9"/>
      <c r="H10" s="9"/>
      <c r="I10" s="9"/>
      <c r="J10" s="11"/>
      <c r="K10" s="11"/>
      <c r="L10" s="9"/>
      <c r="M10" s="9"/>
      <c r="N10" s="9"/>
      <c r="O10" s="9"/>
      <c r="P10" s="11"/>
      <c r="Q10" s="11"/>
      <c r="R10" s="17" t="str">
        <f t="shared" si="0"/>
        <v>|||</v>
      </c>
    </row>
    <row r="11" spans="1:18" ht="18" customHeight="1" x14ac:dyDescent="0.25">
      <c r="A11" s="18">
        <v>8</v>
      </c>
      <c r="B11" s="10"/>
      <c r="C11" s="19"/>
      <c r="D11" s="9"/>
      <c r="E11" s="9"/>
      <c r="F11" s="11"/>
      <c r="G11" s="9"/>
      <c r="H11" s="9"/>
      <c r="I11" s="9"/>
      <c r="J11" s="11"/>
      <c r="K11" s="11"/>
      <c r="L11" s="9"/>
      <c r="M11" s="9"/>
      <c r="N11" s="9"/>
      <c r="O11" s="9"/>
      <c r="P11" s="11"/>
      <c r="Q11" s="11"/>
      <c r="R11" s="17" t="str">
        <f t="shared" si="0"/>
        <v>|||</v>
      </c>
    </row>
    <row r="12" spans="1:18" ht="18" customHeight="1" x14ac:dyDescent="0.25">
      <c r="A12" s="18">
        <v>9</v>
      </c>
      <c r="B12" s="10"/>
      <c r="C12" s="19"/>
      <c r="D12" s="9"/>
      <c r="E12" s="9"/>
      <c r="F12" s="11"/>
      <c r="G12" s="9"/>
      <c r="H12" s="9"/>
      <c r="I12" s="9"/>
      <c r="J12" s="11"/>
      <c r="K12" s="11"/>
      <c r="L12" s="9"/>
      <c r="M12" s="9"/>
      <c r="N12" s="9"/>
      <c r="O12" s="9"/>
      <c r="P12" s="11"/>
      <c r="Q12" s="11"/>
      <c r="R12" s="17" t="str">
        <f t="shared" si="0"/>
        <v>|||</v>
      </c>
    </row>
    <row r="13" spans="1:18" ht="18" customHeight="1" x14ac:dyDescent="0.25">
      <c r="A13" s="18">
        <v>10</v>
      </c>
      <c r="B13" s="10"/>
      <c r="C13" s="19"/>
      <c r="D13" s="9"/>
      <c r="E13" s="9"/>
      <c r="F13" s="11"/>
      <c r="G13" s="9"/>
      <c r="H13" s="9"/>
      <c r="I13" s="9"/>
      <c r="J13" s="11"/>
      <c r="K13" s="11"/>
      <c r="L13" s="9"/>
      <c r="M13" s="9"/>
      <c r="N13" s="9"/>
      <c r="O13" s="9"/>
      <c r="P13" s="11"/>
      <c r="Q13" s="11"/>
      <c r="R13" s="17" t="str">
        <f t="shared" si="0"/>
        <v>|||</v>
      </c>
    </row>
    <row r="14" spans="1:18" ht="18" customHeight="1" x14ac:dyDescent="0.25">
      <c r="A14" s="18">
        <v>11</v>
      </c>
      <c r="B14" s="10"/>
      <c r="C14" s="19"/>
      <c r="D14" s="9"/>
      <c r="E14" s="9"/>
      <c r="F14" s="11"/>
      <c r="G14" s="9"/>
      <c r="H14" s="9"/>
      <c r="I14" s="9"/>
      <c r="J14" s="11"/>
      <c r="K14" s="11"/>
      <c r="L14" s="9"/>
      <c r="M14" s="9"/>
      <c r="N14" s="9"/>
      <c r="O14" s="9"/>
      <c r="P14" s="11"/>
      <c r="Q14" s="11"/>
      <c r="R14" s="17" t="str">
        <f t="shared" si="0"/>
        <v>|||</v>
      </c>
    </row>
    <row r="15" spans="1:18" ht="18" customHeight="1" x14ac:dyDescent="0.25">
      <c r="A15" s="18">
        <v>12</v>
      </c>
      <c r="B15" s="10"/>
      <c r="C15" s="19"/>
      <c r="D15" s="9"/>
      <c r="E15" s="9"/>
      <c r="F15" s="11"/>
      <c r="G15" s="9"/>
      <c r="H15" s="9"/>
      <c r="I15" s="9"/>
      <c r="J15" s="11"/>
      <c r="K15" s="11"/>
      <c r="L15" s="9"/>
      <c r="M15" s="9"/>
      <c r="N15" s="9"/>
      <c r="O15" s="9"/>
      <c r="P15" s="11"/>
      <c r="Q15" s="11"/>
      <c r="R15" s="17" t="str">
        <f t="shared" si="0"/>
        <v>|||</v>
      </c>
    </row>
    <row r="16" spans="1:18" ht="18" customHeight="1" x14ac:dyDescent="0.25">
      <c r="A16" s="18">
        <v>13</v>
      </c>
      <c r="B16" s="10"/>
      <c r="C16" s="19"/>
      <c r="D16" s="9"/>
      <c r="E16" s="9"/>
      <c r="F16" s="11"/>
      <c r="G16" s="9"/>
      <c r="H16" s="9"/>
      <c r="I16" s="9"/>
      <c r="J16" s="11"/>
      <c r="K16" s="11"/>
      <c r="L16" s="9"/>
      <c r="M16" s="9"/>
      <c r="N16" s="9"/>
      <c r="O16" s="9"/>
      <c r="P16" s="11"/>
      <c r="Q16" s="11"/>
      <c r="R16" s="17" t="str">
        <f t="shared" si="0"/>
        <v>|||</v>
      </c>
    </row>
    <row r="17" spans="1:18" ht="18" customHeight="1" x14ac:dyDescent="0.25">
      <c r="A17" s="18">
        <v>14</v>
      </c>
      <c r="B17" s="10"/>
      <c r="C17" s="19"/>
      <c r="D17" s="9"/>
      <c r="E17" s="9"/>
      <c r="F17" s="11"/>
      <c r="G17" s="9"/>
      <c r="H17" s="9"/>
      <c r="I17" s="9"/>
      <c r="J17" s="11"/>
      <c r="K17" s="11"/>
      <c r="L17" s="9"/>
      <c r="M17" s="9"/>
      <c r="N17" s="9"/>
      <c r="O17" s="9"/>
      <c r="P17" s="11"/>
      <c r="Q17" s="11"/>
      <c r="R17" s="17" t="str">
        <f t="shared" si="0"/>
        <v>|||</v>
      </c>
    </row>
    <row r="18" spans="1:18" ht="18" customHeight="1" x14ac:dyDescent="0.25">
      <c r="A18" s="18">
        <v>15</v>
      </c>
      <c r="B18" s="10"/>
      <c r="C18" s="19"/>
      <c r="D18" s="9"/>
      <c r="E18" s="9"/>
      <c r="F18" s="11"/>
      <c r="G18" s="9"/>
      <c r="H18" s="9"/>
      <c r="I18" s="9"/>
      <c r="J18" s="11"/>
      <c r="K18" s="11"/>
      <c r="L18" s="9"/>
      <c r="M18" s="9"/>
      <c r="N18" s="9"/>
      <c r="O18" s="9"/>
      <c r="P18" s="11"/>
      <c r="Q18" s="11"/>
      <c r="R18" s="17" t="str">
        <f t="shared" si="0"/>
        <v>|||</v>
      </c>
    </row>
    <row r="19" spans="1:18" ht="18" customHeight="1" x14ac:dyDescent="0.25">
      <c r="A19" s="18">
        <v>16</v>
      </c>
      <c r="B19" s="10"/>
      <c r="C19" s="19"/>
      <c r="D19" s="9"/>
      <c r="E19" s="9"/>
      <c r="F19" s="11"/>
      <c r="G19" s="9"/>
      <c r="H19" s="9"/>
      <c r="I19" s="9"/>
      <c r="J19" s="11"/>
      <c r="K19" s="11"/>
      <c r="L19" s="9"/>
      <c r="M19" s="9"/>
      <c r="N19" s="9"/>
      <c r="O19" s="9"/>
      <c r="P19" s="11"/>
      <c r="Q19" s="11"/>
      <c r="R19" s="17" t="str">
        <f t="shared" si="0"/>
        <v>|||</v>
      </c>
    </row>
    <row r="20" spans="1:18" ht="18" customHeight="1" x14ac:dyDescent="0.25">
      <c r="A20" s="18">
        <v>17</v>
      </c>
      <c r="B20" s="10"/>
      <c r="C20" s="19"/>
      <c r="D20" s="9"/>
      <c r="E20" s="9"/>
      <c r="F20" s="11"/>
      <c r="G20" s="9"/>
      <c r="H20" s="9"/>
      <c r="I20" s="9"/>
      <c r="J20" s="11"/>
      <c r="K20" s="11"/>
      <c r="L20" s="9"/>
      <c r="M20" s="9"/>
      <c r="N20" s="9"/>
      <c r="O20" s="9"/>
      <c r="P20" s="11"/>
      <c r="Q20" s="11"/>
      <c r="R20" s="17" t="str">
        <f t="shared" si="0"/>
        <v>|||</v>
      </c>
    </row>
    <row r="21" spans="1:18" ht="18" customHeight="1" x14ac:dyDescent="0.25">
      <c r="A21" s="18">
        <v>18</v>
      </c>
      <c r="B21" s="10"/>
      <c r="C21" s="19"/>
      <c r="D21" s="9"/>
      <c r="E21" s="9"/>
      <c r="F21" s="11"/>
      <c r="G21" s="9"/>
      <c r="H21" s="9"/>
      <c r="I21" s="9"/>
      <c r="J21" s="11"/>
      <c r="K21" s="11"/>
      <c r="L21" s="9"/>
      <c r="M21" s="9"/>
      <c r="N21" s="9"/>
      <c r="O21" s="9"/>
      <c r="P21" s="11"/>
      <c r="Q21" s="11"/>
      <c r="R21" s="17" t="str">
        <f t="shared" si="0"/>
        <v>|||</v>
      </c>
    </row>
    <row r="22" spans="1:18" ht="18" customHeight="1" x14ac:dyDescent="0.25">
      <c r="A22" s="18">
        <v>19</v>
      </c>
      <c r="B22" s="10"/>
      <c r="C22" s="19"/>
      <c r="D22" s="9"/>
      <c r="E22" s="9"/>
      <c r="F22" s="11"/>
      <c r="G22" s="9"/>
      <c r="H22" s="9"/>
      <c r="I22" s="9"/>
      <c r="J22" s="11"/>
      <c r="K22" s="11"/>
      <c r="L22" s="9"/>
      <c r="M22" s="9"/>
      <c r="N22" s="9"/>
      <c r="O22" s="9"/>
      <c r="P22" s="11"/>
      <c r="Q22" s="11"/>
      <c r="R22" s="17" t="str">
        <f t="shared" si="0"/>
        <v>|||</v>
      </c>
    </row>
    <row r="23" spans="1:18" ht="18" customHeight="1" x14ac:dyDescent="0.25">
      <c r="A23" s="18">
        <v>20</v>
      </c>
      <c r="B23" s="10"/>
      <c r="C23" s="19"/>
      <c r="D23" s="9"/>
      <c r="E23" s="9"/>
      <c r="F23" s="11"/>
      <c r="G23" s="9"/>
      <c r="H23" s="9"/>
      <c r="I23" s="9"/>
      <c r="J23" s="11"/>
      <c r="K23" s="11"/>
      <c r="L23" s="9"/>
      <c r="M23" s="9"/>
      <c r="N23" s="9"/>
      <c r="O23" s="9"/>
      <c r="P23" s="11"/>
      <c r="Q23" s="11"/>
      <c r="R23" s="17" t="str">
        <f t="shared" si="0"/>
        <v>|||</v>
      </c>
    </row>
    <row r="24" spans="1:18" ht="18" customHeight="1" x14ac:dyDescent="0.25">
      <c r="A24" s="18">
        <v>21</v>
      </c>
      <c r="B24" s="10"/>
      <c r="C24" s="19"/>
      <c r="D24" s="9"/>
      <c r="E24" s="9"/>
      <c r="F24" s="11"/>
      <c r="G24" s="9"/>
      <c r="H24" s="9"/>
      <c r="I24" s="9"/>
      <c r="J24" s="11"/>
      <c r="K24" s="11"/>
      <c r="L24" s="9"/>
      <c r="M24" s="9"/>
      <c r="N24" s="9"/>
      <c r="O24" s="9"/>
      <c r="P24" s="11"/>
      <c r="Q24" s="11"/>
      <c r="R24" s="17" t="str">
        <f t="shared" si="0"/>
        <v>|||</v>
      </c>
    </row>
    <row r="25" spans="1:18" ht="18" customHeight="1" x14ac:dyDescent="0.25">
      <c r="A25" s="18">
        <v>22</v>
      </c>
      <c r="B25" s="10"/>
      <c r="C25" s="19"/>
      <c r="D25" s="9"/>
      <c r="E25" s="9"/>
      <c r="F25" s="11"/>
      <c r="G25" s="9"/>
      <c r="H25" s="9"/>
      <c r="I25" s="9"/>
      <c r="J25" s="11"/>
      <c r="K25" s="11"/>
      <c r="L25" s="9"/>
      <c r="M25" s="9"/>
      <c r="N25" s="9"/>
      <c r="O25" s="9"/>
      <c r="P25" s="11"/>
      <c r="Q25" s="11"/>
      <c r="R25" s="17" t="str">
        <f t="shared" si="0"/>
        <v>|||</v>
      </c>
    </row>
    <row r="26" spans="1:18" ht="18" customHeight="1" x14ac:dyDescent="0.25">
      <c r="A26" s="18">
        <v>23</v>
      </c>
      <c r="B26" s="10"/>
      <c r="C26" s="19"/>
      <c r="D26" s="9"/>
      <c r="E26" s="9"/>
      <c r="F26" s="11"/>
      <c r="G26" s="9"/>
      <c r="H26" s="9"/>
      <c r="I26" s="9"/>
      <c r="J26" s="11"/>
      <c r="K26" s="11"/>
      <c r="L26" s="9"/>
      <c r="M26" s="9"/>
      <c r="N26" s="9"/>
      <c r="O26" s="9"/>
      <c r="P26" s="11"/>
      <c r="Q26" s="11"/>
      <c r="R26" s="17" t="str">
        <f t="shared" si="0"/>
        <v>|||</v>
      </c>
    </row>
    <row r="27" spans="1:18" ht="18" customHeight="1" x14ac:dyDescent="0.25">
      <c r="A27" s="18">
        <v>24</v>
      </c>
      <c r="B27" s="10"/>
      <c r="C27" s="19"/>
      <c r="D27" s="9"/>
      <c r="E27" s="9"/>
      <c r="F27" s="11"/>
      <c r="G27" s="9"/>
      <c r="H27" s="9"/>
      <c r="I27" s="9"/>
      <c r="J27" s="11"/>
      <c r="K27" s="11"/>
      <c r="L27" s="9"/>
      <c r="M27" s="9"/>
      <c r="N27" s="9"/>
      <c r="O27" s="9"/>
      <c r="P27" s="11"/>
      <c r="Q27" s="11"/>
      <c r="R27" s="17" t="str">
        <f t="shared" si="0"/>
        <v>|||</v>
      </c>
    </row>
    <row r="28" spans="1:18" ht="18" customHeight="1" x14ac:dyDescent="0.25">
      <c r="A28" s="18">
        <v>25</v>
      </c>
      <c r="B28" s="10"/>
      <c r="C28" s="19"/>
      <c r="D28" s="9"/>
      <c r="E28" s="9"/>
      <c r="F28" s="11"/>
      <c r="G28" s="9"/>
      <c r="H28" s="9"/>
      <c r="I28" s="9"/>
      <c r="J28" s="11"/>
      <c r="K28" s="11"/>
      <c r="L28" s="9"/>
      <c r="M28" s="9"/>
      <c r="N28" s="9"/>
      <c r="O28" s="9"/>
      <c r="P28" s="11"/>
      <c r="Q28" s="11"/>
      <c r="R28" s="17" t="str">
        <f t="shared" si="0"/>
        <v>|||</v>
      </c>
    </row>
    <row r="29" spans="1:18" ht="18" customHeight="1" x14ac:dyDescent="0.25">
      <c r="A29" s="18">
        <v>26</v>
      </c>
      <c r="B29" s="10"/>
      <c r="C29" s="19"/>
      <c r="D29" s="9"/>
      <c r="E29" s="9"/>
      <c r="F29" s="11"/>
      <c r="G29" s="9"/>
      <c r="H29" s="9"/>
      <c r="I29" s="9"/>
      <c r="J29" s="11"/>
      <c r="K29" s="11"/>
      <c r="L29" s="9"/>
      <c r="M29" s="9"/>
      <c r="N29" s="9"/>
      <c r="O29" s="9"/>
      <c r="P29" s="11"/>
      <c r="Q29" s="11"/>
      <c r="R29" s="17" t="str">
        <f t="shared" si="0"/>
        <v>|||</v>
      </c>
    </row>
    <row r="30" spans="1:18" ht="18" customHeight="1" x14ac:dyDescent="0.25">
      <c r="A30" s="18">
        <v>27</v>
      </c>
      <c r="B30" s="10"/>
      <c r="C30" s="19"/>
      <c r="D30" s="9"/>
      <c r="E30" s="9"/>
      <c r="F30" s="11"/>
      <c r="G30" s="9"/>
      <c r="H30" s="9"/>
      <c r="I30" s="9"/>
      <c r="J30" s="11"/>
      <c r="K30" s="11"/>
      <c r="L30" s="9"/>
      <c r="M30" s="9"/>
      <c r="N30" s="9"/>
      <c r="O30" s="9"/>
      <c r="P30" s="11"/>
      <c r="Q30" s="11"/>
      <c r="R30" s="17" t="str">
        <f t="shared" si="0"/>
        <v>|||</v>
      </c>
    </row>
    <row r="31" spans="1:18" ht="18" customHeight="1" x14ac:dyDescent="0.25">
      <c r="A31" s="18">
        <v>28</v>
      </c>
      <c r="B31" s="10"/>
      <c r="C31" s="19"/>
      <c r="D31" s="9"/>
      <c r="E31" s="9"/>
      <c r="F31" s="11"/>
      <c r="G31" s="9"/>
      <c r="H31" s="9"/>
      <c r="I31" s="9"/>
      <c r="J31" s="11"/>
      <c r="K31" s="11"/>
      <c r="L31" s="9"/>
      <c r="M31" s="9"/>
      <c r="N31" s="9"/>
      <c r="O31" s="9"/>
      <c r="P31" s="11"/>
      <c r="Q31" s="11"/>
      <c r="R31" s="17" t="str">
        <f t="shared" si="0"/>
        <v>|||</v>
      </c>
    </row>
    <row r="32" spans="1:18" ht="18" customHeight="1" x14ac:dyDescent="0.25">
      <c r="A32" s="18">
        <v>29</v>
      </c>
      <c r="B32" s="10"/>
      <c r="C32" s="19"/>
      <c r="D32" s="9"/>
      <c r="E32" s="9"/>
      <c r="F32" s="11"/>
      <c r="G32" s="9"/>
      <c r="H32" s="9"/>
      <c r="I32" s="9"/>
      <c r="J32" s="11"/>
      <c r="K32" s="11"/>
      <c r="L32" s="9"/>
      <c r="M32" s="9"/>
      <c r="N32" s="9"/>
      <c r="O32" s="9"/>
      <c r="P32" s="11"/>
      <c r="Q32" s="11"/>
      <c r="R32" s="17" t="str">
        <f t="shared" si="0"/>
        <v>|||</v>
      </c>
    </row>
    <row r="33" spans="1:18" ht="18" customHeight="1" x14ac:dyDescent="0.25">
      <c r="A33" s="18">
        <v>30</v>
      </c>
      <c r="B33" s="10"/>
      <c r="C33" s="19"/>
      <c r="D33" s="9"/>
      <c r="E33" s="9"/>
      <c r="F33" s="11"/>
      <c r="G33" s="9"/>
      <c r="H33" s="9"/>
      <c r="I33" s="9"/>
      <c r="J33" s="11"/>
      <c r="K33" s="11"/>
      <c r="L33" s="9"/>
      <c r="M33" s="9"/>
      <c r="N33" s="9"/>
      <c r="O33" s="9"/>
      <c r="P33" s="11"/>
      <c r="Q33" s="11"/>
      <c r="R33" s="17" t="str">
        <f t="shared" si="0"/>
        <v>|||</v>
      </c>
    </row>
    <row r="34" spans="1:18" ht="18" customHeight="1" x14ac:dyDescent="0.25">
      <c r="A34" s="18">
        <v>31</v>
      </c>
      <c r="B34" s="10"/>
      <c r="C34" s="19"/>
      <c r="D34" s="9"/>
      <c r="E34" s="9"/>
      <c r="F34" s="11"/>
      <c r="G34" s="9"/>
      <c r="H34" s="9"/>
      <c r="I34" s="9"/>
      <c r="J34" s="11"/>
      <c r="K34" s="11"/>
      <c r="L34" s="9"/>
      <c r="M34" s="9"/>
      <c r="N34" s="9"/>
      <c r="O34" s="9"/>
      <c r="P34" s="11"/>
      <c r="Q34" s="11"/>
      <c r="R34" s="17" t="str">
        <f t="shared" si="0"/>
        <v>|||</v>
      </c>
    </row>
    <row r="35" spans="1:18" ht="18" customHeight="1" x14ac:dyDescent="0.25">
      <c r="A35" s="18">
        <v>32</v>
      </c>
      <c r="B35" s="10"/>
      <c r="C35" s="19"/>
      <c r="D35" s="9"/>
      <c r="E35" s="9"/>
      <c r="F35" s="11"/>
      <c r="G35" s="9"/>
      <c r="H35" s="9"/>
      <c r="I35" s="9"/>
      <c r="J35" s="11"/>
      <c r="K35" s="11"/>
      <c r="L35" s="9"/>
      <c r="M35" s="9"/>
      <c r="N35" s="9"/>
      <c r="O35" s="9"/>
      <c r="P35" s="11"/>
      <c r="Q35" s="11"/>
      <c r="R35" s="17" t="str">
        <f t="shared" si="0"/>
        <v>|||</v>
      </c>
    </row>
    <row r="36" spans="1:18" ht="18" customHeight="1" x14ac:dyDescent="0.25">
      <c r="A36" s="18">
        <v>33</v>
      </c>
      <c r="B36" s="10"/>
      <c r="C36" s="19"/>
      <c r="D36" s="9"/>
      <c r="E36" s="9"/>
      <c r="F36" s="11"/>
      <c r="G36" s="9"/>
      <c r="H36" s="9"/>
      <c r="I36" s="9"/>
      <c r="J36" s="11"/>
      <c r="K36" s="11"/>
      <c r="L36" s="9"/>
      <c r="M36" s="9"/>
      <c r="N36" s="9"/>
      <c r="O36" s="9"/>
      <c r="P36" s="11"/>
      <c r="Q36" s="11"/>
      <c r="R36" s="17" t="str">
        <f t="shared" ref="R36:R67" si="1">G36&amp;"|"&amp;E36&amp;"|"&amp;H36&amp;"|"&amp;I36</f>
        <v>|||</v>
      </c>
    </row>
    <row r="37" spans="1:18" ht="18" customHeight="1" x14ac:dyDescent="0.25">
      <c r="A37" s="18">
        <v>34</v>
      </c>
      <c r="B37" s="10"/>
      <c r="C37" s="19"/>
      <c r="D37" s="9"/>
      <c r="E37" s="9"/>
      <c r="F37" s="11"/>
      <c r="G37" s="9"/>
      <c r="H37" s="9"/>
      <c r="I37" s="9"/>
      <c r="J37" s="11"/>
      <c r="K37" s="11"/>
      <c r="L37" s="9"/>
      <c r="M37" s="9"/>
      <c r="N37" s="9"/>
      <c r="O37" s="9"/>
      <c r="P37" s="11"/>
      <c r="Q37" s="11"/>
      <c r="R37" s="17" t="str">
        <f t="shared" si="1"/>
        <v>|||</v>
      </c>
    </row>
    <row r="38" spans="1:18" ht="18" customHeight="1" x14ac:dyDescent="0.25">
      <c r="A38" s="18">
        <v>35</v>
      </c>
      <c r="B38" s="10"/>
      <c r="C38" s="19"/>
      <c r="D38" s="9"/>
      <c r="E38" s="9"/>
      <c r="F38" s="11"/>
      <c r="G38" s="9"/>
      <c r="H38" s="9"/>
      <c r="I38" s="9"/>
      <c r="J38" s="11"/>
      <c r="K38" s="11"/>
      <c r="L38" s="9"/>
      <c r="M38" s="9"/>
      <c r="N38" s="9"/>
      <c r="O38" s="9"/>
      <c r="P38" s="11"/>
      <c r="Q38" s="11"/>
      <c r="R38" s="17" t="str">
        <f t="shared" si="1"/>
        <v>|||</v>
      </c>
    </row>
    <row r="39" spans="1:18" ht="18" customHeight="1" x14ac:dyDescent="0.25">
      <c r="A39" s="18">
        <v>36</v>
      </c>
      <c r="B39" s="10"/>
      <c r="C39" s="19"/>
      <c r="D39" s="9"/>
      <c r="E39" s="9"/>
      <c r="F39" s="11"/>
      <c r="G39" s="9"/>
      <c r="H39" s="9"/>
      <c r="I39" s="9"/>
      <c r="J39" s="11"/>
      <c r="K39" s="11"/>
      <c r="L39" s="9"/>
      <c r="M39" s="9"/>
      <c r="N39" s="9"/>
      <c r="O39" s="9"/>
      <c r="P39" s="11"/>
      <c r="Q39" s="11"/>
      <c r="R39" s="17" t="str">
        <f t="shared" si="1"/>
        <v>|||</v>
      </c>
    </row>
    <row r="40" spans="1:18" ht="18" customHeight="1" x14ac:dyDescent="0.25">
      <c r="A40" s="18">
        <v>37</v>
      </c>
      <c r="B40" s="10"/>
      <c r="C40" s="19"/>
      <c r="D40" s="9"/>
      <c r="E40" s="9"/>
      <c r="F40" s="11"/>
      <c r="G40" s="9"/>
      <c r="H40" s="9"/>
      <c r="I40" s="9"/>
      <c r="J40" s="11"/>
      <c r="K40" s="11"/>
      <c r="L40" s="9"/>
      <c r="M40" s="9"/>
      <c r="N40" s="9"/>
      <c r="O40" s="9"/>
      <c r="P40" s="11"/>
      <c r="Q40" s="11"/>
      <c r="R40" s="17" t="str">
        <f t="shared" si="1"/>
        <v>|||</v>
      </c>
    </row>
    <row r="41" spans="1:18" ht="18" customHeight="1" x14ac:dyDescent="0.25">
      <c r="A41" s="18">
        <v>38</v>
      </c>
      <c r="B41" s="10"/>
      <c r="C41" s="19"/>
      <c r="D41" s="9"/>
      <c r="E41" s="9"/>
      <c r="F41" s="11"/>
      <c r="G41" s="9"/>
      <c r="H41" s="9"/>
      <c r="I41" s="9"/>
      <c r="J41" s="11"/>
      <c r="K41" s="11"/>
      <c r="L41" s="9"/>
      <c r="M41" s="9"/>
      <c r="N41" s="9"/>
      <c r="O41" s="9"/>
      <c r="P41" s="11"/>
      <c r="Q41" s="11"/>
      <c r="R41" s="17" t="str">
        <f t="shared" si="1"/>
        <v>|||</v>
      </c>
    </row>
    <row r="42" spans="1:18" ht="18" customHeight="1" x14ac:dyDescent="0.25">
      <c r="A42" s="18">
        <v>39</v>
      </c>
      <c r="B42" s="10"/>
      <c r="C42" s="19"/>
      <c r="D42" s="9"/>
      <c r="E42" s="9"/>
      <c r="F42" s="11"/>
      <c r="G42" s="9"/>
      <c r="H42" s="9"/>
      <c r="I42" s="9"/>
      <c r="J42" s="11"/>
      <c r="K42" s="11"/>
      <c r="L42" s="9"/>
      <c r="M42" s="9"/>
      <c r="N42" s="9"/>
      <c r="O42" s="9"/>
      <c r="P42" s="11"/>
      <c r="Q42" s="11"/>
      <c r="R42" s="17" t="str">
        <f t="shared" si="1"/>
        <v>|||</v>
      </c>
    </row>
    <row r="43" spans="1:18" ht="18" customHeight="1" x14ac:dyDescent="0.25">
      <c r="A43" s="18">
        <v>40</v>
      </c>
      <c r="B43" s="10"/>
      <c r="C43" s="19"/>
      <c r="D43" s="9"/>
      <c r="E43" s="9"/>
      <c r="F43" s="11"/>
      <c r="G43" s="9"/>
      <c r="H43" s="9"/>
      <c r="I43" s="9"/>
      <c r="J43" s="11"/>
      <c r="K43" s="11"/>
      <c r="L43" s="9"/>
      <c r="M43" s="9"/>
      <c r="N43" s="9"/>
      <c r="O43" s="9"/>
      <c r="P43" s="11"/>
      <c r="Q43" s="11"/>
      <c r="R43" s="17" t="str">
        <f t="shared" si="1"/>
        <v>|||</v>
      </c>
    </row>
    <row r="44" spans="1:18" ht="18" customHeight="1" x14ac:dyDescent="0.25">
      <c r="A44" s="18">
        <v>41</v>
      </c>
      <c r="B44" s="10"/>
      <c r="C44" s="19"/>
      <c r="D44" s="9"/>
      <c r="E44" s="9"/>
      <c r="F44" s="11"/>
      <c r="G44" s="9"/>
      <c r="H44" s="9"/>
      <c r="I44" s="9"/>
      <c r="J44" s="11"/>
      <c r="K44" s="11"/>
      <c r="L44" s="9"/>
      <c r="M44" s="9"/>
      <c r="N44" s="9"/>
      <c r="O44" s="9"/>
      <c r="P44" s="11"/>
      <c r="Q44" s="11"/>
      <c r="R44" s="17" t="str">
        <f t="shared" si="1"/>
        <v>|||</v>
      </c>
    </row>
    <row r="45" spans="1:18" ht="18" customHeight="1" x14ac:dyDescent="0.25">
      <c r="A45" s="18">
        <v>42</v>
      </c>
      <c r="B45" s="10"/>
      <c r="C45" s="19"/>
      <c r="D45" s="9"/>
      <c r="E45" s="9"/>
      <c r="F45" s="11"/>
      <c r="G45" s="9"/>
      <c r="H45" s="9"/>
      <c r="I45" s="9"/>
      <c r="J45" s="11"/>
      <c r="K45" s="11"/>
      <c r="L45" s="9"/>
      <c r="M45" s="9"/>
      <c r="N45" s="9"/>
      <c r="O45" s="9"/>
      <c r="P45" s="11"/>
      <c r="Q45" s="11"/>
      <c r="R45" s="17" t="str">
        <f t="shared" si="1"/>
        <v>|||</v>
      </c>
    </row>
    <row r="46" spans="1:18" ht="18" customHeight="1" x14ac:dyDescent="0.25">
      <c r="A46" s="18">
        <v>43</v>
      </c>
      <c r="B46" s="10"/>
      <c r="C46" s="19"/>
      <c r="D46" s="9"/>
      <c r="E46" s="9"/>
      <c r="F46" s="11"/>
      <c r="G46" s="9"/>
      <c r="H46" s="9"/>
      <c r="I46" s="9"/>
      <c r="J46" s="11"/>
      <c r="K46" s="11"/>
      <c r="L46" s="9"/>
      <c r="M46" s="9"/>
      <c r="N46" s="9"/>
      <c r="O46" s="9"/>
      <c r="P46" s="11"/>
      <c r="Q46" s="11"/>
      <c r="R46" s="17" t="str">
        <f t="shared" si="1"/>
        <v>|||</v>
      </c>
    </row>
    <row r="47" spans="1:18" ht="18" customHeight="1" x14ac:dyDescent="0.25">
      <c r="A47" s="18">
        <v>44</v>
      </c>
      <c r="B47" s="10"/>
      <c r="C47" s="19"/>
      <c r="D47" s="9"/>
      <c r="E47" s="9"/>
      <c r="F47" s="11"/>
      <c r="G47" s="9"/>
      <c r="H47" s="9"/>
      <c r="I47" s="9"/>
      <c r="J47" s="11"/>
      <c r="K47" s="11"/>
      <c r="L47" s="9"/>
      <c r="M47" s="9"/>
      <c r="N47" s="9"/>
      <c r="O47" s="9"/>
      <c r="P47" s="11"/>
      <c r="Q47" s="11"/>
      <c r="R47" s="17" t="str">
        <f t="shared" si="1"/>
        <v>|||</v>
      </c>
    </row>
    <row r="48" spans="1:18" ht="18" customHeight="1" x14ac:dyDescent="0.25">
      <c r="A48" s="18">
        <v>45</v>
      </c>
      <c r="B48" s="10"/>
      <c r="C48" s="19"/>
      <c r="D48" s="9"/>
      <c r="E48" s="9"/>
      <c r="F48" s="11"/>
      <c r="G48" s="9"/>
      <c r="H48" s="9"/>
      <c r="I48" s="9"/>
      <c r="J48" s="11"/>
      <c r="K48" s="11"/>
      <c r="L48" s="9"/>
      <c r="M48" s="9"/>
      <c r="N48" s="9"/>
      <c r="O48" s="9"/>
      <c r="P48" s="11"/>
      <c r="Q48" s="11"/>
      <c r="R48" s="17" t="str">
        <f t="shared" si="1"/>
        <v>|||</v>
      </c>
    </row>
    <row r="49" spans="1:18" ht="18" customHeight="1" x14ac:dyDescent="0.25">
      <c r="A49" s="18">
        <v>46</v>
      </c>
      <c r="B49" s="10"/>
      <c r="C49" s="19"/>
      <c r="D49" s="9"/>
      <c r="E49" s="9"/>
      <c r="F49" s="11"/>
      <c r="G49" s="9"/>
      <c r="H49" s="9"/>
      <c r="I49" s="9"/>
      <c r="J49" s="11"/>
      <c r="K49" s="11"/>
      <c r="L49" s="9"/>
      <c r="M49" s="9"/>
      <c r="N49" s="9"/>
      <c r="O49" s="9"/>
      <c r="P49" s="11"/>
      <c r="Q49" s="11"/>
      <c r="R49" s="17" t="str">
        <f t="shared" si="1"/>
        <v>|||</v>
      </c>
    </row>
    <row r="50" spans="1:18" ht="18" customHeight="1" x14ac:dyDescent="0.25">
      <c r="A50" s="18">
        <v>47</v>
      </c>
      <c r="B50" s="10"/>
      <c r="C50" s="19"/>
      <c r="D50" s="9"/>
      <c r="E50" s="9"/>
      <c r="F50" s="11"/>
      <c r="G50" s="9"/>
      <c r="H50" s="9"/>
      <c r="I50" s="9"/>
      <c r="J50" s="11"/>
      <c r="K50" s="11"/>
      <c r="L50" s="9"/>
      <c r="M50" s="9"/>
      <c r="N50" s="9"/>
      <c r="O50" s="9"/>
      <c r="P50" s="11"/>
      <c r="Q50" s="11"/>
      <c r="R50" s="17" t="str">
        <f t="shared" si="1"/>
        <v>|||</v>
      </c>
    </row>
    <row r="51" spans="1:18" ht="18" customHeight="1" x14ac:dyDescent="0.25">
      <c r="A51" s="18">
        <v>48</v>
      </c>
      <c r="B51" s="10"/>
      <c r="C51" s="19"/>
      <c r="D51" s="9"/>
      <c r="E51" s="9"/>
      <c r="F51" s="11"/>
      <c r="G51" s="9"/>
      <c r="H51" s="9"/>
      <c r="I51" s="9"/>
      <c r="J51" s="11"/>
      <c r="K51" s="11"/>
      <c r="L51" s="9"/>
      <c r="M51" s="9"/>
      <c r="N51" s="9"/>
      <c r="O51" s="9"/>
      <c r="P51" s="11"/>
      <c r="Q51" s="11"/>
      <c r="R51" s="17" t="str">
        <f t="shared" si="1"/>
        <v>|||</v>
      </c>
    </row>
    <row r="52" spans="1:18" ht="18" customHeight="1" x14ac:dyDescent="0.25">
      <c r="A52" s="18">
        <v>49</v>
      </c>
      <c r="B52" s="10"/>
      <c r="C52" s="19"/>
      <c r="D52" s="9"/>
      <c r="E52" s="9"/>
      <c r="F52" s="11"/>
      <c r="G52" s="9"/>
      <c r="H52" s="9"/>
      <c r="I52" s="9"/>
      <c r="J52" s="11"/>
      <c r="K52" s="11"/>
      <c r="L52" s="9"/>
      <c r="M52" s="9"/>
      <c r="N52" s="9"/>
      <c r="O52" s="9"/>
      <c r="P52" s="11"/>
      <c r="Q52" s="11"/>
      <c r="R52" s="17" t="str">
        <f t="shared" si="1"/>
        <v>|||</v>
      </c>
    </row>
    <row r="53" spans="1:18" ht="18" customHeight="1" x14ac:dyDescent="0.25">
      <c r="A53" s="18">
        <v>50</v>
      </c>
      <c r="B53" s="10"/>
      <c r="C53" s="19"/>
      <c r="D53" s="9"/>
      <c r="E53" s="9"/>
      <c r="F53" s="11"/>
      <c r="G53" s="9"/>
      <c r="H53" s="9"/>
      <c r="I53" s="9"/>
      <c r="J53" s="11"/>
      <c r="K53" s="11"/>
      <c r="L53" s="9"/>
      <c r="M53" s="9"/>
      <c r="N53" s="9"/>
      <c r="O53" s="9"/>
      <c r="P53" s="11"/>
      <c r="Q53" s="11"/>
      <c r="R53" s="17" t="str">
        <f t="shared" si="1"/>
        <v>|||</v>
      </c>
    </row>
    <row r="54" spans="1:18" ht="18" customHeight="1" x14ac:dyDescent="0.25">
      <c r="A54" s="18">
        <v>51</v>
      </c>
      <c r="B54" s="10"/>
      <c r="C54" s="19"/>
      <c r="D54" s="9"/>
      <c r="E54" s="9"/>
      <c r="F54" s="11"/>
      <c r="G54" s="9"/>
      <c r="H54" s="9"/>
      <c r="I54" s="9"/>
      <c r="J54" s="11"/>
      <c r="K54" s="11"/>
      <c r="L54" s="9"/>
      <c r="M54" s="9"/>
      <c r="N54" s="9"/>
      <c r="O54" s="9"/>
      <c r="P54" s="11"/>
      <c r="Q54" s="11"/>
      <c r="R54" s="17" t="str">
        <f t="shared" si="1"/>
        <v>|||</v>
      </c>
    </row>
    <row r="55" spans="1:18" ht="18" customHeight="1" x14ac:dyDescent="0.25">
      <c r="A55" s="18">
        <v>52</v>
      </c>
      <c r="B55" s="10"/>
      <c r="C55" s="19"/>
      <c r="D55" s="9"/>
      <c r="E55" s="9"/>
      <c r="F55" s="11"/>
      <c r="G55" s="9"/>
      <c r="H55" s="9"/>
      <c r="I55" s="9"/>
      <c r="J55" s="11"/>
      <c r="K55" s="11"/>
      <c r="L55" s="9"/>
      <c r="M55" s="9"/>
      <c r="N55" s="9"/>
      <c r="O55" s="9"/>
      <c r="P55" s="11"/>
      <c r="Q55" s="11"/>
      <c r="R55" s="17" t="str">
        <f t="shared" si="1"/>
        <v>|||</v>
      </c>
    </row>
    <row r="56" spans="1:18" ht="18" customHeight="1" x14ac:dyDescent="0.25">
      <c r="A56" s="18">
        <v>53</v>
      </c>
      <c r="B56" s="10"/>
      <c r="C56" s="19"/>
      <c r="D56" s="9"/>
      <c r="E56" s="9"/>
      <c r="F56" s="11"/>
      <c r="G56" s="9"/>
      <c r="H56" s="9"/>
      <c r="I56" s="9"/>
      <c r="J56" s="11"/>
      <c r="K56" s="11"/>
      <c r="L56" s="9"/>
      <c r="M56" s="9"/>
      <c r="N56" s="9"/>
      <c r="O56" s="9"/>
      <c r="P56" s="11"/>
      <c r="Q56" s="11"/>
      <c r="R56" s="17" t="str">
        <f t="shared" si="1"/>
        <v>|||</v>
      </c>
    </row>
    <row r="57" spans="1:18" ht="18" customHeight="1" x14ac:dyDescent="0.25">
      <c r="A57" s="18">
        <v>54</v>
      </c>
      <c r="B57" s="10"/>
      <c r="C57" s="19"/>
      <c r="D57" s="9"/>
      <c r="E57" s="9"/>
      <c r="F57" s="11"/>
      <c r="G57" s="9"/>
      <c r="H57" s="9"/>
      <c r="I57" s="9"/>
      <c r="J57" s="11"/>
      <c r="K57" s="11"/>
      <c r="L57" s="9"/>
      <c r="M57" s="9"/>
      <c r="N57" s="9"/>
      <c r="O57" s="9"/>
      <c r="P57" s="11"/>
      <c r="Q57" s="11"/>
      <c r="R57" s="17" t="str">
        <f t="shared" si="1"/>
        <v>|||</v>
      </c>
    </row>
    <row r="58" spans="1:18" ht="18" customHeight="1" x14ac:dyDescent="0.25">
      <c r="A58" s="18">
        <v>55</v>
      </c>
      <c r="B58" s="10"/>
      <c r="C58" s="19"/>
      <c r="D58" s="9"/>
      <c r="E58" s="9"/>
      <c r="F58" s="11"/>
      <c r="G58" s="9"/>
      <c r="H58" s="9"/>
      <c r="I58" s="9"/>
      <c r="J58" s="11"/>
      <c r="K58" s="11"/>
      <c r="L58" s="9"/>
      <c r="M58" s="9"/>
      <c r="N58" s="9"/>
      <c r="O58" s="9"/>
      <c r="P58" s="11"/>
      <c r="Q58" s="11"/>
      <c r="R58" s="17" t="str">
        <f t="shared" si="1"/>
        <v>|||</v>
      </c>
    </row>
    <row r="59" spans="1:18" ht="18" customHeight="1" x14ac:dyDescent="0.25">
      <c r="A59" s="18">
        <v>56</v>
      </c>
      <c r="B59" s="10"/>
      <c r="C59" s="19"/>
      <c r="D59" s="9"/>
      <c r="E59" s="9"/>
      <c r="F59" s="11"/>
      <c r="G59" s="9"/>
      <c r="H59" s="9"/>
      <c r="I59" s="9"/>
      <c r="J59" s="11"/>
      <c r="K59" s="11"/>
      <c r="L59" s="9"/>
      <c r="M59" s="9"/>
      <c r="N59" s="9"/>
      <c r="O59" s="9"/>
      <c r="P59" s="11"/>
      <c r="Q59" s="11"/>
      <c r="R59" s="17" t="str">
        <f t="shared" si="1"/>
        <v>|||</v>
      </c>
    </row>
    <row r="60" spans="1:18" ht="18" customHeight="1" x14ac:dyDescent="0.25">
      <c r="A60" s="18">
        <v>57</v>
      </c>
      <c r="B60" s="10"/>
      <c r="C60" s="19"/>
      <c r="D60" s="9"/>
      <c r="E60" s="9"/>
      <c r="F60" s="11"/>
      <c r="G60" s="9"/>
      <c r="H60" s="9"/>
      <c r="I60" s="9"/>
      <c r="J60" s="11"/>
      <c r="K60" s="11"/>
      <c r="L60" s="9"/>
      <c r="M60" s="9"/>
      <c r="N60" s="9"/>
      <c r="O60" s="9"/>
      <c r="P60" s="11"/>
      <c r="Q60" s="11"/>
      <c r="R60" s="17" t="str">
        <f t="shared" si="1"/>
        <v>|||</v>
      </c>
    </row>
    <row r="61" spans="1:18" ht="18" customHeight="1" x14ac:dyDescent="0.25">
      <c r="A61" s="18">
        <v>58</v>
      </c>
      <c r="B61" s="10"/>
      <c r="C61" s="19"/>
      <c r="D61" s="9"/>
      <c r="E61" s="9"/>
      <c r="F61" s="11"/>
      <c r="G61" s="9"/>
      <c r="H61" s="9"/>
      <c r="I61" s="9"/>
      <c r="J61" s="11"/>
      <c r="K61" s="11"/>
      <c r="L61" s="9"/>
      <c r="M61" s="9"/>
      <c r="N61" s="9"/>
      <c r="O61" s="9"/>
      <c r="P61" s="11"/>
      <c r="Q61" s="11"/>
      <c r="R61" s="17" t="str">
        <f t="shared" si="1"/>
        <v>|||</v>
      </c>
    </row>
    <row r="62" spans="1:18" ht="18" customHeight="1" x14ac:dyDescent="0.25">
      <c r="A62" s="18">
        <v>59</v>
      </c>
      <c r="B62" s="10"/>
      <c r="C62" s="19"/>
      <c r="D62" s="9"/>
      <c r="E62" s="9"/>
      <c r="F62" s="11"/>
      <c r="G62" s="9"/>
      <c r="H62" s="9"/>
      <c r="I62" s="9"/>
      <c r="J62" s="11"/>
      <c r="K62" s="11"/>
      <c r="L62" s="9"/>
      <c r="M62" s="9"/>
      <c r="N62" s="9"/>
      <c r="O62" s="9"/>
      <c r="P62" s="11"/>
      <c r="Q62" s="11"/>
      <c r="R62" s="17" t="str">
        <f t="shared" si="1"/>
        <v>|||</v>
      </c>
    </row>
    <row r="63" spans="1:18" ht="18" customHeight="1" x14ac:dyDescent="0.25">
      <c r="A63" s="18">
        <v>60</v>
      </c>
      <c r="B63" s="10"/>
      <c r="C63" s="19"/>
      <c r="D63" s="9"/>
      <c r="E63" s="9"/>
      <c r="F63" s="11"/>
      <c r="G63" s="9"/>
      <c r="H63" s="9"/>
      <c r="I63" s="9"/>
      <c r="J63" s="11"/>
      <c r="K63" s="11"/>
      <c r="L63" s="9"/>
      <c r="M63" s="9"/>
      <c r="N63" s="9"/>
      <c r="O63" s="9"/>
      <c r="P63" s="11"/>
      <c r="Q63" s="11"/>
      <c r="R63" s="17" t="str">
        <f t="shared" si="1"/>
        <v>|||</v>
      </c>
    </row>
    <row r="64" spans="1:18" ht="18" customHeight="1" x14ac:dyDescent="0.25">
      <c r="A64" s="18">
        <v>61</v>
      </c>
      <c r="B64" s="10"/>
      <c r="C64" s="19"/>
      <c r="D64" s="9"/>
      <c r="E64" s="9"/>
      <c r="F64" s="11"/>
      <c r="G64" s="9"/>
      <c r="H64" s="9"/>
      <c r="I64" s="9"/>
      <c r="J64" s="11"/>
      <c r="K64" s="11"/>
      <c r="L64" s="9"/>
      <c r="M64" s="9"/>
      <c r="N64" s="9"/>
      <c r="O64" s="9"/>
      <c r="P64" s="11"/>
      <c r="Q64" s="11"/>
      <c r="R64" s="17" t="str">
        <f t="shared" si="1"/>
        <v>|||</v>
      </c>
    </row>
    <row r="65" spans="1:18" ht="18" customHeight="1" x14ac:dyDescent="0.25">
      <c r="A65" s="18">
        <v>62</v>
      </c>
      <c r="B65" s="10"/>
      <c r="C65" s="19"/>
      <c r="D65" s="9"/>
      <c r="E65" s="9"/>
      <c r="F65" s="11"/>
      <c r="G65" s="9"/>
      <c r="H65" s="9"/>
      <c r="I65" s="9"/>
      <c r="J65" s="11"/>
      <c r="K65" s="11"/>
      <c r="L65" s="9"/>
      <c r="M65" s="9"/>
      <c r="N65" s="9"/>
      <c r="O65" s="9"/>
      <c r="P65" s="11"/>
      <c r="Q65" s="11"/>
      <c r="R65" s="17" t="str">
        <f t="shared" si="1"/>
        <v>|||</v>
      </c>
    </row>
    <row r="66" spans="1:18" ht="18" customHeight="1" x14ac:dyDescent="0.25">
      <c r="A66" s="18">
        <v>63</v>
      </c>
      <c r="B66" s="10"/>
      <c r="C66" s="19"/>
      <c r="D66" s="9"/>
      <c r="E66" s="9"/>
      <c r="F66" s="11"/>
      <c r="G66" s="9"/>
      <c r="H66" s="9"/>
      <c r="I66" s="9"/>
      <c r="J66" s="11"/>
      <c r="K66" s="11"/>
      <c r="L66" s="9"/>
      <c r="M66" s="9"/>
      <c r="N66" s="9"/>
      <c r="O66" s="9"/>
      <c r="P66" s="11"/>
      <c r="Q66" s="11"/>
      <c r="R66" s="17" t="str">
        <f t="shared" si="1"/>
        <v>|||</v>
      </c>
    </row>
    <row r="67" spans="1:18" ht="18" customHeight="1" x14ac:dyDescent="0.25">
      <c r="A67" s="18">
        <v>64</v>
      </c>
      <c r="B67" s="10"/>
      <c r="C67" s="19"/>
      <c r="D67" s="9"/>
      <c r="E67" s="9"/>
      <c r="F67" s="11"/>
      <c r="G67" s="9"/>
      <c r="H67" s="9"/>
      <c r="I67" s="9"/>
      <c r="J67" s="11"/>
      <c r="K67" s="11"/>
      <c r="L67" s="9"/>
      <c r="M67" s="9"/>
      <c r="N67" s="9"/>
      <c r="O67" s="9"/>
      <c r="P67" s="11"/>
      <c r="Q67" s="11"/>
      <c r="R67" s="17" t="str">
        <f t="shared" si="1"/>
        <v>|||</v>
      </c>
    </row>
    <row r="68" spans="1:18" ht="18" customHeight="1" x14ac:dyDescent="0.25">
      <c r="A68" s="18">
        <v>65</v>
      </c>
      <c r="B68" s="10"/>
      <c r="C68" s="19"/>
      <c r="D68" s="9"/>
      <c r="E68" s="9"/>
      <c r="F68" s="11"/>
      <c r="G68" s="9"/>
      <c r="H68" s="9"/>
      <c r="I68" s="9"/>
      <c r="J68" s="11"/>
      <c r="K68" s="11"/>
      <c r="L68" s="9"/>
      <c r="M68" s="9"/>
      <c r="N68" s="9"/>
      <c r="O68" s="9"/>
      <c r="P68" s="11"/>
      <c r="Q68" s="11"/>
      <c r="R68" s="17" t="str">
        <f t="shared" ref="R68:R99" si="2">G68&amp;"|"&amp;E68&amp;"|"&amp;H68&amp;"|"&amp;I68</f>
        <v>|||</v>
      </c>
    </row>
    <row r="69" spans="1:18" ht="18" customHeight="1" x14ac:dyDescent="0.25">
      <c r="A69" s="18">
        <v>66</v>
      </c>
      <c r="B69" s="10"/>
      <c r="C69" s="19"/>
      <c r="D69" s="9"/>
      <c r="E69" s="9"/>
      <c r="F69" s="11"/>
      <c r="G69" s="9"/>
      <c r="H69" s="9"/>
      <c r="I69" s="9"/>
      <c r="J69" s="11"/>
      <c r="K69" s="11"/>
      <c r="L69" s="9"/>
      <c r="M69" s="9"/>
      <c r="N69" s="9"/>
      <c r="O69" s="9"/>
      <c r="P69" s="11"/>
      <c r="Q69" s="11"/>
      <c r="R69" s="17" t="str">
        <f t="shared" si="2"/>
        <v>|||</v>
      </c>
    </row>
    <row r="70" spans="1:18" ht="18" customHeight="1" x14ac:dyDescent="0.25">
      <c r="A70" s="18">
        <v>67</v>
      </c>
      <c r="B70" s="10"/>
      <c r="C70" s="19"/>
      <c r="D70" s="9"/>
      <c r="E70" s="9"/>
      <c r="F70" s="11"/>
      <c r="G70" s="9"/>
      <c r="H70" s="9"/>
      <c r="I70" s="9"/>
      <c r="J70" s="11"/>
      <c r="K70" s="11"/>
      <c r="L70" s="9"/>
      <c r="M70" s="9"/>
      <c r="N70" s="9"/>
      <c r="O70" s="9"/>
      <c r="P70" s="11"/>
      <c r="Q70" s="11"/>
      <c r="R70" s="17" t="str">
        <f t="shared" si="2"/>
        <v>|||</v>
      </c>
    </row>
    <row r="71" spans="1:18" ht="18" customHeight="1" x14ac:dyDescent="0.25">
      <c r="A71" s="18">
        <v>68</v>
      </c>
      <c r="B71" s="10"/>
      <c r="C71" s="19"/>
      <c r="D71" s="9"/>
      <c r="E71" s="9"/>
      <c r="F71" s="11"/>
      <c r="G71" s="9"/>
      <c r="H71" s="9"/>
      <c r="I71" s="9"/>
      <c r="J71" s="11"/>
      <c r="K71" s="11"/>
      <c r="L71" s="9"/>
      <c r="M71" s="9"/>
      <c r="N71" s="9"/>
      <c r="O71" s="9"/>
      <c r="P71" s="11"/>
      <c r="Q71" s="11"/>
      <c r="R71" s="17" t="str">
        <f t="shared" si="2"/>
        <v>|||</v>
      </c>
    </row>
    <row r="72" spans="1:18" ht="18" customHeight="1" x14ac:dyDescent="0.25">
      <c r="A72" s="18">
        <v>69</v>
      </c>
      <c r="B72" s="10"/>
      <c r="C72" s="19"/>
      <c r="D72" s="9"/>
      <c r="E72" s="9"/>
      <c r="F72" s="11"/>
      <c r="G72" s="9"/>
      <c r="H72" s="9"/>
      <c r="I72" s="9"/>
      <c r="J72" s="11"/>
      <c r="K72" s="11"/>
      <c r="L72" s="9"/>
      <c r="M72" s="9"/>
      <c r="N72" s="9"/>
      <c r="O72" s="9"/>
      <c r="P72" s="11"/>
      <c r="Q72" s="11"/>
      <c r="R72" s="17" t="str">
        <f t="shared" si="2"/>
        <v>|||</v>
      </c>
    </row>
    <row r="73" spans="1:18" ht="18" customHeight="1" x14ac:dyDescent="0.25">
      <c r="A73" s="18">
        <v>70</v>
      </c>
      <c r="B73" s="10"/>
      <c r="C73" s="19"/>
      <c r="D73" s="9"/>
      <c r="E73" s="9"/>
      <c r="F73" s="11"/>
      <c r="G73" s="9"/>
      <c r="H73" s="9"/>
      <c r="I73" s="9"/>
      <c r="J73" s="11"/>
      <c r="K73" s="11"/>
      <c r="L73" s="9"/>
      <c r="M73" s="9"/>
      <c r="N73" s="9"/>
      <c r="O73" s="9"/>
      <c r="P73" s="11"/>
      <c r="Q73" s="11"/>
      <c r="R73" s="17" t="str">
        <f t="shared" si="2"/>
        <v>|||</v>
      </c>
    </row>
    <row r="74" spans="1:18" ht="18" customHeight="1" x14ac:dyDescent="0.25">
      <c r="A74" s="18">
        <v>71</v>
      </c>
      <c r="B74" s="10"/>
      <c r="C74" s="19"/>
      <c r="D74" s="9"/>
      <c r="E74" s="9"/>
      <c r="F74" s="11"/>
      <c r="G74" s="9"/>
      <c r="H74" s="9"/>
      <c r="I74" s="9"/>
      <c r="J74" s="11"/>
      <c r="K74" s="11"/>
      <c r="L74" s="9"/>
      <c r="M74" s="9"/>
      <c r="N74" s="9"/>
      <c r="O74" s="9"/>
      <c r="P74" s="11"/>
      <c r="Q74" s="11"/>
      <c r="R74" s="17" t="str">
        <f t="shared" si="2"/>
        <v>|||</v>
      </c>
    </row>
    <row r="75" spans="1:18" ht="18" customHeight="1" x14ac:dyDescent="0.25">
      <c r="A75" s="18">
        <v>72</v>
      </c>
      <c r="B75" s="10"/>
      <c r="C75" s="19"/>
      <c r="D75" s="9"/>
      <c r="E75" s="9"/>
      <c r="F75" s="11"/>
      <c r="G75" s="9"/>
      <c r="H75" s="9"/>
      <c r="I75" s="9"/>
      <c r="J75" s="11"/>
      <c r="K75" s="11"/>
      <c r="L75" s="9"/>
      <c r="M75" s="9"/>
      <c r="N75" s="9"/>
      <c r="O75" s="9"/>
      <c r="P75" s="11"/>
      <c r="Q75" s="11"/>
      <c r="R75" s="17" t="str">
        <f t="shared" si="2"/>
        <v>|||</v>
      </c>
    </row>
    <row r="76" spans="1:18" ht="18" customHeight="1" x14ac:dyDescent="0.25">
      <c r="A76" s="18">
        <v>73</v>
      </c>
      <c r="B76" s="10"/>
      <c r="C76" s="19"/>
      <c r="D76" s="9"/>
      <c r="E76" s="9"/>
      <c r="F76" s="11"/>
      <c r="G76" s="9"/>
      <c r="H76" s="9"/>
      <c r="I76" s="9"/>
      <c r="J76" s="11"/>
      <c r="K76" s="11"/>
      <c r="L76" s="9"/>
      <c r="M76" s="9"/>
      <c r="N76" s="9"/>
      <c r="O76" s="9"/>
      <c r="P76" s="11"/>
      <c r="Q76" s="11"/>
      <c r="R76" s="17" t="str">
        <f t="shared" si="2"/>
        <v>|||</v>
      </c>
    </row>
    <row r="77" spans="1:18" ht="18" customHeight="1" x14ac:dyDescent="0.25">
      <c r="A77" s="18">
        <v>74</v>
      </c>
      <c r="B77" s="10"/>
      <c r="C77" s="19"/>
      <c r="D77" s="9"/>
      <c r="E77" s="9"/>
      <c r="F77" s="11"/>
      <c r="G77" s="9"/>
      <c r="H77" s="9"/>
      <c r="I77" s="9"/>
      <c r="J77" s="11"/>
      <c r="K77" s="11"/>
      <c r="L77" s="9"/>
      <c r="M77" s="9"/>
      <c r="N77" s="9"/>
      <c r="O77" s="9"/>
      <c r="P77" s="11"/>
      <c r="Q77" s="11"/>
      <c r="R77" s="17" t="str">
        <f t="shared" si="2"/>
        <v>|||</v>
      </c>
    </row>
    <row r="78" spans="1:18" ht="18" customHeight="1" x14ac:dyDescent="0.25">
      <c r="A78" s="18">
        <v>75</v>
      </c>
      <c r="B78" s="10"/>
      <c r="C78" s="19"/>
      <c r="D78" s="9"/>
      <c r="E78" s="9"/>
      <c r="F78" s="11"/>
      <c r="G78" s="9"/>
      <c r="H78" s="9"/>
      <c r="I78" s="9"/>
      <c r="J78" s="11"/>
      <c r="K78" s="11"/>
      <c r="L78" s="9"/>
      <c r="M78" s="9"/>
      <c r="N78" s="9"/>
      <c r="O78" s="9"/>
      <c r="P78" s="11"/>
      <c r="Q78" s="11"/>
      <c r="R78" s="17" t="str">
        <f t="shared" si="2"/>
        <v>|||</v>
      </c>
    </row>
    <row r="79" spans="1:18" ht="18" customHeight="1" x14ac:dyDescent="0.25">
      <c r="A79" s="18">
        <v>76</v>
      </c>
      <c r="B79" s="10"/>
      <c r="C79" s="19"/>
      <c r="D79" s="9"/>
      <c r="E79" s="9"/>
      <c r="F79" s="11"/>
      <c r="G79" s="9"/>
      <c r="H79" s="9"/>
      <c r="I79" s="9"/>
      <c r="J79" s="11"/>
      <c r="K79" s="11"/>
      <c r="L79" s="9"/>
      <c r="M79" s="9"/>
      <c r="N79" s="9"/>
      <c r="O79" s="9"/>
      <c r="P79" s="11"/>
      <c r="Q79" s="11"/>
      <c r="R79" s="17" t="str">
        <f t="shared" si="2"/>
        <v>|||</v>
      </c>
    </row>
    <row r="80" spans="1:18" ht="18" customHeight="1" x14ac:dyDescent="0.25">
      <c r="A80" s="18">
        <v>77</v>
      </c>
      <c r="B80" s="10"/>
      <c r="C80" s="19"/>
      <c r="D80" s="9"/>
      <c r="E80" s="9"/>
      <c r="F80" s="11"/>
      <c r="G80" s="9"/>
      <c r="H80" s="9"/>
      <c r="I80" s="9"/>
      <c r="J80" s="11"/>
      <c r="K80" s="11"/>
      <c r="L80" s="9"/>
      <c r="M80" s="9"/>
      <c r="N80" s="9"/>
      <c r="O80" s="9"/>
      <c r="P80" s="11"/>
      <c r="Q80" s="11"/>
      <c r="R80" s="17" t="str">
        <f t="shared" si="2"/>
        <v>|||</v>
      </c>
    </row>
    <row r="81" spans="1:18" ht="18" customHeight="1" x14ac:dyDescent="0.25">
      <c r="A81" s="18">
        <v>78</v>
      </c>
      <c r="B81" s="10"/>
      <c r="C81" s="19"/>
      <c r="D81" s="9"/>
      <c r="E81" s="9"/>
      <c r="F81" s="11"/>
      <c r="G81" s="9"/>
      <c r="H81" s="9"/>
      <c r="I81" s="9"/>
      <c r="J81" s="11"/>
      <c r="K81" s="11"/>
      <c r="L81" s="9"/>
      <c r="M81" s="9"/>
      <c r="N81" s="9"/>
      <c r="O81" s="9"/>
      <c r="P81" s="11"/>
      <c r="Q81" s="11"/>
      <c r="R81" s="17" t="str">
        <f t="shared" si="2"/>
        <v>|||</v>
      </c>
    </row>
    <row r="82" spans="1:18" ht="18" customHeight="1" x14ac:dyDescent="0.25">
      <c r="A82" s="18">
        <v>79</v>
      </c>
      <c r="B82" s="10"/>
      <c r="C82" s="19"/>
      <c r="D82" s="9"/>
      <c r="E82" s="9"/>
      <c r="F82" s="11"/>
      <c r="G82" s="9"/>
      <c r="H82" s="9"/>
      <c r="I82" s="9"/>
      <c r="J82" s="11"/>
      <c r="K82" s="11"/>
      <c r="L82" s="9"/>
      <c r="M82" s="9"/>
      <c r="N82" s="9"/>
      <c r="O82" s="9"/>
      <c r="P82" s="11"/>
      <c r="Q82" s="11"/>
      <c r="R82" s="17" t="str">
        <f t="shared" si="2"/>
        <v>|||</v>
      </c>
    </row>
    <row r="83" spans="1:18" ht="18" customHeight="1" x14ac:dyDescent="0.25">
      <c r="A83" s="18">
        <v>80</v>
      </c>
      <c r="B83" s="10"/>
      <c r="C83" s="19"/>
      <c r="D83" s="9"/>
      <c r="E83" s="9"/>
      <c r="F83" s="11"/>
      <c r="G83" s="9"/>
      <c r="H83" s="9"/>
      <c r="I83" s="9"/>
      <c r="J83" s="11"/>
      <c r="K83" s="11"/>
      <c r="L83" s="9"/>
      <c r="M83" s="9"/>
      <c r="N83" s="9"/>
      <c r="O83" s="9"/>
      <c r="P83" s="11"/>
      <c r="Q83" s="11"/>
      <c r="R83" s="17" t="str">
        <f t="shared" si="2"/>
        <v>|||</v>
      </c>
    </row>
    <row r="84" spans="1:18" ht="18" customHeight="1" x14ac:dyDescent="0.25">
      <c r="A84" s="18">
        <v>81</v>
      </c>
      <c r="B84" s="10"/>
      <c r="C84" s="19"/>
      <c r="D84" s="9"/>
      <c r="E84" s="9"/>
      <c r="F84" s="11"/>
      <c r="G84" s="9"/>
      <c r="H84" s="9"/>
      <c r="I84" s="9"/>
      <c r="J84" s="11"/>
      <c r="K84" s="11"/>
      <c r="L84" s="9"/>
      <c r="M84" s="9"/>
      <c r="N84" s="9"/>
      <c r="O84" s="9"/>
      <c r="P84" s="11"/>
      <c r="Q84" s="11"/>
      <c r="R84" s="17" t="str">
        <f t="shared" si="2"/>
        <v>|||</v>
      </c>
    </row>
    <row r="85" spans="1:18" ht="18" customHeight="1" x14ac:dyDescent="0.25">
      <c r="A85" s="18">
        <v>82</v>
      </c>
      <c r="B85" s="10"/>
      <c r="C85" s="19"/>
      <c r="D85" s="9"/>
      <c r="E85" s="9"/>
      <c r="F85" s="11"/>
      <c r="G85" s="9"/>
      <c r="H85" s="9"/>
      <c r="I85" s="9"/>
      <c r="J85" s="11"/>
      <c r="K85" s="11"/>
      <c r="L85" s="9"/>
      <c r="M85" s="9"/>
      <c r="N85" s="9"/>
      <c r="O85" s="9"/>
      <c r="P85" s="11"/>
      <c r="Q85" s="11"/>
      <c r="R85" s="17" t="str">
        <f t="shared" si="2"/>
        <v>|||</v>
      </c>
    </row>
    <row r="86" spans="1:18" ht="18" customHeight="1" x14ac:dyDescent="0.25">
      <c r="A86" s="18">
        <v>83</v>
      </c>
      <c r="B86" s="10"/>
      <c r="C86" s="19"/>
      <c r="D86" s="9"/>
      <c r="E86" s="9"/>
      <c r="F86" s="11"/>
      <c r="G86" s="9"/>
      <c r="H86" s="9"/>
      <c r="I86" s="9"/>
      <c r="J86" s="11"/>
      <c r="K86" s="11"/>
      <c r="L86" s="9"/>
      <c r="M86" s="9"/>
      <c r="N86" s="9"/>
      <c r="O86" s="9"/>
      <c r="P86" s="11"/>
      <c r="Q86" s="11"/>
      <c r="R86" s="17" t="str">
        <f t="shared" si="2"/>
        <v>|||</v>
      </c>
    </row>
    <row r="87" spans="1:18" ht="18" customHeight="1" x14ac:dyDescent="0.25">
      <c r="A87" s="18">
        <v>84</v>
      </c>
      <c r="B87" s="10"/>
      <c r="C87" s="19"/>
      <c r="D87" s="9"/>
      <c r="E87" s="9"/>
      <c r="F87" s="11"/>
      <c r="G87" s="9"/>
      <c r="H87" s="9"/>
      <c r="I87" s="9"/>
      <c r="J87" s="11"/>
      <c r="K87" s="11"/>
      <c r="L87" s="9"/>
      <c r="M87" s="9"/>
      <c r="N87" s="9"/>
      <c r="O87" s="9"/>
      <c r="P87" s="11"/>
      <c r="Q87" s="11"/>
      <c r="R87" s="17" t="str">
        <f t="shared" si="2"/>
        <v>|||</v>
      </c>
    </row>
    <row r="88" spans="1:18" ht="18" customHeight="1" x14ac:dyDescent="0.25">
      <c r="A88" s="18">
        <v>85</v>
      </c>
      <c r="B88" s="10"/>
      <c r="C88" s="19"/>
      <c r="D88" s="9"/>
      <c r="E88" s="9"/>
      <c r="F88" s="11"/>
      <c r="G88" s="9"/>
      <c r="H88" s="9"/>
      <c r="I88" s="9"/>
      <c r="J88" s="11"/>
      <c r="K88" s="11"/>
      <c r="L88" s="9"/>
      <c r="M88" s="9"/>
      <c r="N88" s="9"/>
      <c r="O88" s="9"/>
      <c r="P88" s="11"/>
      <c r="Q88" s="11"/>
      <c r="R88" s="17" t="str">
        <f t="shared" si="2"/>
        <v>|||</v>
      </c>
    </row>
    <row r="89" spans="1:18" ht="18" customHeight="1" x14ac:dyDescent="0.25">
      <c r="A89" s="18">
        <v>86</v>
      </c>
      <c r="B89" s="10"/>
      <c r="C89" s="19"/>
      <c r="D89" s="9"/>
      <c r="E89" s="9"/>
      <c r="F89" s="11"/>
      <c r="G89" s="9"/>
      <c r="H89" s="9"/>
      <c r="I89" s="9"/>
      <c r="J89" s="11"/>
      <c r="K89" s="11"/>
      <c r="L89" s="9"/>
      <c r="M89" s="9"/>
      <c r="N89" s="9"/>
      <c r="O89" s="9"/>
      <c r="P89" s="11"/>
      <c r="Q89" s="11"/>
      <c r="R89" s="17" t="str">
        <f t="shared" si="2"/>
        <v>|||</v>
      </c>
    </row>
    <row r="90" spans="1:18" ht="18" customHeight="1" x14ac:dyDescent="0.25">
      <c r="A90" s="18">
        <v>87</v>
      </c>
      <c r="B90" s="10"/>
      <c r="C90" s="19"/>
      <c r="D90" s="9"/>
      <c r="E90" s="9"/>
      <c r="F90" s="11"/>
      <c r="G90" s="9"/>
      <c r="H90" s="9"/>
      <c r="I90" s="9"/>
      <c r="J90" s="11"/>
      <c r="K90" s="11"/>
      <c r="L90" s="9"/>
      <c r="M90" s="9"/>
      <c r="N90" s="9"/>
      <c r="O90" s="9"/>
      <c r="P90" s="11"/>
      <c r="Q90" s="11"/>
      <c r="R90" s="17" t="str">
        <f t="shared" si="2"/>
        <v>|||</v>
      </c>
    </row>
    <row r="91" spans="1:18" ht="18" customHeight="1" x14ac:dyDescent="0.25">
      <c r="A91" s="18">
        <v>88</v>
      </c>
      <c r="B91" s="10"/>
      <c r="C91" s="19"/>
      <c r="D91" s="9"/>
      <c r="E91" s="9"/>
      <c r="F91" s="11"/>
      <c r="G91" s="9"/>
      <c r="H91" s="9"/>
      <c r="I91" s="9"/>
      <c r="J91" s="11"/>
      <c r="K91" s="11"/>
      <c r="L91" s="9"/>
      <c r="M91" s="9"/>
      <c r="N91" s="9"/>
      <c r="O91" s="9"/>
      <c r="P91" s="11"/>
      <c r="Q91" s="11"/>
      <c r="R91" s="17" t="str">
        <f t="shared" si="2"/>
        <v>|||</v>
      </c>
    </row>
    <row r="92" spans="1:18" ht="18" customHeight="1" x14ac:dyDescent="0.25">
      <c r="A92" s="18">
        <v>89</v>
      </c>
      <c r="B92" s="10"/>
      <c r="C92" s="19"/>
      <c r="D92" s="9"/>
      <c r="E92" s="9"/>
      <c r="F92" s="11"/>
      <c r="G92" s="9"/>
      <c r="H92" s="9"/>
      <c r="I92" s="9"/>
      <c r="J92" s="11"/>
      <c r="K92" s="11"/>
      <c r="L92" s="9"/>
      <c r="M92" s="9"/>
      <c r="N92" s="9"/>
      <c r="O92" s="9"/>
      <c r="P92" s="11"/>
      <c r="Q92" s="11"/>
      <c r="R92" s="17" t="str">
        <f t="shared" si="2"/>
        <v>|||</v>
      </c>
    </row>
    <row r="93" spans="1:18" ht="18" customHeight="1" x14ac:dyDescent="0.25">
      <c r="A93" s="18">
        <v>90</v>
      </c>
      <c r="B93" s="10"/>
      <c r="C93" s="19"/>
      <c r="D93" s="9"/>
      <c r="E93" s="9"/>
      <c r="F93" s="11"/>
      <c r="G93" s="9"/>
      <c r="H93" s="9"/>
      <c r="I93" s="9"/>
      <c r="J93" s="11"/>
      <c r="K93" s="11"/>
      <c r="L93" s="9"/>
      <c r="M93" s="9"/>
      <c r="N93" s="9"/>
      <c r="O93" s="9"/>
      <c r="P93" s="11"/>
      <c r="Q93" s="11"/>
      <c r="R93" s="17" t="str">
        <f t="shared" si="2"/>
        <v>|||</v>
      </c>
    </row>
    <row r="94" spans="1:18" ht="18" customHeight="1" x14ac:dyDescent="0.25">
      <c r="A94" s="18">
        <v>91</v>
      </c>
      <c r="B94" s="10"/>
      <c r="C94" s="19"/>
      <c r="D94" s="9"/>
      <c r="E94" s="9"/>
      <c r="F94" s="11"/>
      <c r="G94" s="9"/>
      <c r="H94" s="9"/>
      <c r="I94" s="9"/>
      <c r="J94" s="11"/>
      <c r="K94" s="11"/>
      <c r="L94" s="9"/>
      <c r="M94" s="9"/>
      <c r="N94" s="9"/>
      <c r="O94" s="9"/>
      <c r="P94" s="11"/>
      <c r="Q94" s="11"/>
      <c r="R94" s="17" t="str">
        <f t="shared" si="2"/>
        <v>|||</v>
      </c>
    </row>
    <row r="95" spans="1:18" ht="18" customHeight="1" x14ac:dyDescent="0.25">
      <c r="A95" s="18">
        <v>92</v>
      </c>
      <c r="B95" s="10"/>
      <c r="C95" s="19"/>
      <c r="D95" s="9"/>
      <c r="E95" s="9"/>
      <c r="F95" s="11"/>
      <c r="G95" s="9"/>
      <c r="H95" s="9"/>
      <c r="I95" s="9"/>
      <c r="J95" s="11"/>
      <c r="K95" s="11"/>
      <c r="L95" s="9"/>
      <c r="M95" s="9"/>
      <c r="N95" s="9"/>
      <c r="O95" s="9"/>
      <c r="P95" s="11"/>
      <c r="Q95" s="11"/>
      <c r="R95" s="17" t="str">
        <f t="shared" si="2"/>
        <v>|||</v>
      </c>
    </row>
    <row r="96" spans="1:18" ht="18" customHeight="1" x14ac:dyDescent="0.25">
      <c r="A96" s="18">
        <v>93</v>
      </c>
      <c r="B96" s="10"/>
      <c r="C96" s="19"/>
      <c r="D96" s="9"/>
      <c r="E96" s="9"/>
      <c r="F96" s="11"/>
      <c r="G96" s="9"/>
      <c r="H96" s="9"/>
      <c r="I96" s="9"/>
      <c r="J96" s="11"/>
      <c r="K96" s="11"/>
      <c r="L96" s="9"/>
      <c r="M96" s="9"/>
      <c r="N96" s="9"/>
      <c r="O96" s="9"/>
      <c r="P96" s="11"/>
      <c r="Q96" s="11"/>
      <c r="R96" s="17" t="str">
        <f t="shared" si="2"/>
        <v>|||</v>
      </c>
    </row>
    <row r="97" spans="1:18" ht="18" customHeight="1" x14ac:dyDescent="0.25">
      <c r="A97" s="18">
        <v>94</v>
      </c>
      <c r="B97" s="10"/>
      <c r="C97" s="19"/>
      <c r="D97" s="9"/>
      <c r="E97" s="9"/>
      <c r="F97" s="11"/>
      <c r="G97" s="9"/>
      <c r="H97" s="9"/>
      <c r="I97" s="9"/>
      <c r="J97" s="11"/>
      <c r="K97" s="11"/>
      <c r="L97" s="9"/>
      <c r="M97" s="9"/>
      <c r="N97" s="9"/>
      <c r="O97" s="9"/>
      <c r="P97" s="11"/>
      <c r="Q97" s="11"/>
      <c r="R97" s="17" t="str">
        <f t="shared" si="2"/>
        <v>|||</v>
      </c>
    </row>
    <row r="98" spans="1:18" ht="18" customHeight="1" x14ac:dyDescent="0.25">
      <c r="A98" s="18">
        <v>95</v>
      </c>
      <c r="B98" s="10"/>
      <c r="C98" s="19"/>
      <c r="D98" s="9"/>
      <c r="E98" s="9"/>
      <c r="F98" s="11"/>
      <c r="G98" s="9"/>
      <c r="H98" s="9"/>
      <c r="I98" s="9"/>
      <c r="J98" s="11"/>
      <c r="K98" s="11"/>
      <c r="L98" s="9"/>
      <c r="M98" s="9"/>
      <c r="N98" s="9"/>
      <c r="O98" s="9"/>
      <c r="P98" s="11"/>
      <c r="Q98" s="11"/>
      <c r="R98" s="17" t="str">
        <f t="shared" si="2"/>
        <v>|||</v>
      </c>
    </row>
    <row r="99" spans="1:18" ht="18" customHeight="1" x14ac:dyDescent="0.25">
      <c r="A99" s="18">
        <v>96</v>
      </c>
      <c r="B99" s="10"/>
      <c r="C99" s="19"/>
      <c r="D99" s="9"/>
      <c r="E99" s="9"/>
      <c r="F99" s="11"/>
      <c r="G99" s="9"/>
      <c r="H99" s="9"/>
      <c r="I99" s="9"/>
      <c r="J99" s="11"/>
      <c r="K99" s="11"/>
      <c r="L99" s="9"/>
      <c r="M99" s="9"/>
      <c r="N99" s="9"/>
      <c r="O99" s="9"/>
      <c r="P99" s="11"/>
      <c r="Q99" s="11"/>
      <c r="R99" s="17" t="str">
        <f t="shared" si="2"/>
        <v>|||</v>
      </c>
    </row>
    <row r="100" spans="1:18" ht="18" customHeight="1" x14ac:dyDescent="0.25">
      <c r="A100" s="18">
        <v>97</v>
      </c>
      <c r="B100" s="10"/>
      <c r="C100" s="19"/>
      <c r="D100" s="9"/>
      <c r="E100" s="9"/>
      <c r="F100" s="11"/>
      <c r="G100" s="9"/>
      <c r="H100" s="9"/>
      <c r="I100" s="9"/>
      <c r="J100" s="11"/>
      <c r="K100" s="11"/>
      <c r="L100" s="9"/>
      <c r="M100" s="9"/>
      <c r="N100" s="9"/>
      <c r="O100" s="9"/>
      <c r="P100" s="11"/>
      <c r="Q100" s="11"/>
      <c r="R100" s="17" t="str">
        <f t="shared" ref="R100:R131" si="3">G100&amp;"|"&amp;E100&amp;"|"&amp;H100&amp;"|"&amp;I100</f>
        <v>|||</v>
      </c>
    </row>
    <row r="101" spans="1:18" ht="18" customHeight="1" x14ac:dyDescent="0.25">
      <c r="A101" s="18">
        <v>98</v>
      </c>
      <c r="B101" s="10"/>
      <c r="C101" s="19"/>
      <c r="D101" s="9"/>
      <c r="E101" s="9"/>
      <c r="F101" s="11"/>
      <c r="G101" s="9"/>
      <c r="H101" s="9"/>
      <c r="I101" s="9"/>
      <c r="J101" s="11"/>
      <c r="K101" s="11"/>
      <c r="L101" s="9"/>
      <c r="M101" s="9"/>
      <c r="N101" s="9"/>
      <c r="O101" s="9"/>
      <c r="P101" s="11"/>
      <c r="Q101" s="11"/>
      <c r="R101" s="17" t="str">
        <f t="shared" si="3"/>
        <v>|||</v>
      </c>
    </row>
    <row r="102" spans="1:18" ht="18" customHeight="1" x14ac:dyDescent="0.25">
      <c r="A102" s="18">
        <v>99</v>
      </c>
      <c r="B102" s="10"/>
      <c r="C102" s="19"/>
      <c r="D102" s="9"/>
      <c r="E102" s="9"/>
      <c r="F102" s="11"/>
      <c r="G102" s="9"/>
      <c r="H102" s="9"/>
      <c r="I102" s="9"/>
      <c r="J102" s="11"/>
      <c r="K102" s="11"/>
      <c r="L102" s="9"/>
      <c r="M102" s="9"/>
      <c r="N102" s="9"/>
      <c r="O102" s="9"/>
      <c r="P102" s="11"/>
      <c r="Q102" s="11"/>
      <c r="R102" s="17" t="str">
        <f t="shared" si="3"/>
        <v>|||</v>
      </c>
    </row>
    <row r="103" spans="1:18" ht="18" customHeight="1" x14ac:dyDescent="0.25">
      <c r="A103" s="18">
        <v>100</v>
      </c>
      <c r="B103" s="10"/>
      <c r="C103" s="19"/>
      <c r="D103" s="9"/>
      <c r="E103" s="9"/>
      <c r="F103" s="11"/>
      <c r="G103" s="9"/>
      <c r="H103" s="9"/>
      <c r="I103" s="9"/>
      <c r="J103" s="11"/>
      <c r="K103" s="11"/>
      <c r="L103" s="9"/>
      <c r="M103" s="9"/>
      <c r="N103" s="9"/>
      <c r="O103" s="9"/>
      <c r="P103" s="11"/>
      <c r="Q103" s="11"/>
      <c r="R103" s="17" t="str">
        <f t="shared" si="3"/>
        <v>|||</v>
      </c>
    </row>
    <row r="104" spans="1:18" ht="18" customHeight="1" x14ac:dyDescent="0.25">
      <c r="A104" s="18">
        <v>101</v>
      </c>
      <c r="B104" s="10"/>
      <c r="C104" s="19"/>
      <c r="D104" s="9"/>
      <c r="E104" s="9"/>
      <c r="F104" s="11"/>
      <c r="G104" s="9"/>
      <c r="H104" s="9"/>
      <c r="I104" s="9"/>
      <c r="J104" s="11"/>
      <c r="K104" s="11"/>
      <c r="L104" s="9"/>
      <c r="M104" s="9"/>
      <c r="N104" s="9"/>
      <c r="O104" s="9"/>
      <c r="P104" s="11"/>
      <c r="Q104" s="11"/>
      <c r="R104" s="17" t="str">
        <f t="shared" si="3"/>
        <v>|||</v>
      </c>
    </row>
    <row r="105" spans="1:18" ht="18" customHeight="1" x14ac:dyDescent="0.25">
      <c r="A105" s="18">
        <v>102</v>
      </c>
      <c r="B105" s="10"/>
      <c r="C105" s="19"/>
      <c r="D105" s="9"/>
      <c r="E105" s="9"/>
      <c r="F105" s="11"/>
      <c r="G105" s="9"/>
      <c r="H105" s="9"/>
      <c r="I105" s="9"/>
      <c r="J105" s="11"/>
      <c r="K105" s="11"/>
      <c r="L105" s="9"/>
      <c r="M105" s="9"/>
      <c r="N105" s="9"/>
      <c r="O105" s="9"/>
      <c r="P105" s="11"/>
      <c r="Q105" s="11"/>
      <c r="R105" s="17" t="str">
        <f t="shared" si="3"/>
        <v>|||</v>
      </c>
    </row>
    <row r="106" spans="1:18" ht="18" customHeight="1" x14ac:dyDescent="0.25">
      <c r="A106" s="18">
        <v>103</v>
      </c>
      <c r="B106" s="10"/>
      <c r="C106" s="19"/>
      <c r="D106" s="9"/>
      <c r="E106" s="9"/>
      <c r="F106" s="11"/>
      <c r="G106" s="9"/>
      <c r="H106" s="9"/>
      <c r="I106" s="9"/>
      <c r="J106" s="11"/>
      <c r="K106" s="11"/>
      <c r="L106" s="9"/>
      <c r="M106" s="9"/>
      <c r="N106" s="9"/>
      <c r="O106" s="9"/>
      <c r="P106" s="11"/>
      <c r="Q106" s="11"/>
      <c r="R106" s="17" t="str">
        <f t="shared" si="3"/>
        <v>|||</v>
      </c>
    </row>
    <row r="107" spans="1:18" ht="18" customHeight="1" x14ac:dyDescent="0.25">
      <c r="A107" s="18">
        <v>104</v>
      </c>
      <c r="B107" s="10"/>
      <c r="C107" s="19"/>
      <c r="D107" s="9"/>
      <c r="E107" s="9"/>
      <c r="F107" s="11"/>
      <c r="G107" s="9"/>
      <c r="H107" s="9"/>
      <c r="I107" s="9"/>
      <c r="J107" s="11"/>
      <c r="K107" s="11"/>
      <c r="L107" s="9"/>
      <c r="M107" s="9"/>
      <c r="N107" s="9"/>
      <c r="O107" s="9"/>
      <c r="P107" s="11"/>
      <c r="Q107" s="11"/>
      <c r="R107" s="17" t="str">
        <f t="shared" si="3"/>
        <v>|||</v>
      </c>
    </row>
    <row r="108" spans="1:18" ht="18" customHeight="1" x14ac:dyDescent="0.25">
      <c r="A108" s="18">
        <v>105</v>
      </c>
      <c r="B108" s="10"/>
      <c r="C108" s="19"/>
      <c r="D108" s="9"/>
      <c r="E108" s="9"/>
      <c r="F108" s="11"/>
      <c r="G108" s="9"/>
      <c r="H108" s="9"/>
      <c r="I108" s="9"/>
      <c r="J108" s="11"/>
      <c r="K108" s="11"/>
      <c r="L108" s="9"/>
      <c r="M108" s="9"/>
      <c r="N108" s="9"/>
      <c r="O108" s="9"/>
      <c r="P108" s="11"/>
      <c r="Q108" s="11"/>
      <c r="R108" s="17" t="str">
        <f t="shared" si="3"/>
        <v>|||</v>
      </c>
    </row>
    <row r="109" spans="1:18" ht="18" customHeight="1" x14ac:dyDescent="0.25">
      <c r="A109" s="18">
        <v>106</v>
      </c>
      <c r="B109" s="10"/>
      <c r="C109" s="19"/>
      <c r="D109" s="9"/>
      <c r="E109" s="9"/>
      <c r="F109" s="11"/>
      <c r="G109" s="9"/>
      <c r="H109" s="9"/>
      <c r="I109" s="9"/>
      <c r="J109" s="11"/>
      <c r="K109" s="11"/>
      <c r="L109" s="9"/>
      <c r="M109" s="9"/>
      <c r="N109" s="9"/>
      <c r="O109" s="9"/>
      <c r="P109" s="11"/>
      <c r="Q109" s="11"/>
      <c r="R109" s="17" t="str">
        <f t="shared" si="3"/>
        <v>|||</v>
      </c>
    </row>
    <row r="110" spans="1:18" ht="18" customHeight="1" x14ac:dyDescent="0.25">
      <c r="A110" s="18">
        <v>107</v>
      </c>
      <c r="B110" s="10"/>
      <c r="C110" s="19"/>
      <c r="D110" s="9"/>
      <c r="E110" s="9"/>
      <c r="F110" s="11"/>
      <c r="G110" s="9"/>
      <c r="H110" s="9"/>
      <c r="I110" s="9"/>
      <c r="J110" s="11"/>
      <c r="K110" s="11"/>
      <c r="L110" s="9"/>
      <c r="M110" s="9"/>
      <c r="N110" s="9"/>
      <c r="O110" s="9"/>
      <c r="P110" s="11"/>
      <c r="Q110" s="11"/>
      <c r="R110" s="17" t="str">
        <f t="shared" si="3"/>
        <v>|||</v>
      </c>
    </row>
    <row r="111" spans="1:18" ht="18" customHeight="1" x14ac:dyDescent="0.25">
      <c r="A111" s="18">
        <v>108</v>
      </c>
      <c r="B111" s="10"/>
      <c r="C111" s="19"/>
      <c r="D111" s="9"/>
      <c r="E111" s="9"/>
      <c r="F111" s="11"/>
      <c r="G111" s="9"/>
      <c r="H111" s="9"/>
      <c r="I111" s="9"/>
      <c r="J111" s="11"/>
      <c r="K111" s="11"/>
      <c r="L111" s="9"/>
      <c r="M111" s="9"/>
      <c r="N111" s="9"/>
      <c r="O111" s="9"/>
      <c r="P111" s="11"/>
      <c r="Q111" s="11"/>
      <c r="R111" s="17" t="str">
        <f t="shared" si="3"/>
        <v>|||</v>
      </c>
    </row>
    <row r="112" spans="1:18" ht="18" customHeight="1" x14ac:dyDescent="0.25">
      <c r="A112" s="18">
        <v>109</v>
      </c>
      <c r="B112" s="10"/>
      <c r="C112" s="19"/>
      <c r="D112" s="9"/>
      <c r="E112" s="9"/>
      <c r="F112" s="11"/>
      <c r="G112" s="9"/>
      <c r="H112" s="9"/>
      <c r="I112" s="9"/>
      <c r="J112" s="11"/>
      <c r="K112" s="11"/>
      <c r="L112" s="9"/>
      <c r="M112" s="9"/>
      <c r="N112" s="9"/>
      <c r="O112" s="9"/>
      <c r="P112" s="11"/>
      <c r="Q112" s="11"/>
      <c r="R112" s="17" t="str">
        <f t="shared" si="3"/>
        <v>|||</v>
      </c>
    </row>
    <row r="113" spans="1:18" ht="18" customHeight="1" x14ac:dyDescent="0.25">
      <c r="A113" s="18">
        <v>110</v>
      </c>
      <c r="B113" s="10"/>
      <c r="C113" s="19"/>
      <c r="D113" s="9"/>
      <c r="E113" s="9"/>
      <c r="F113" s="11"/>
      <c r="G113" s="9"/>
      <c r="H113" s="9"/>
      <c r="I113" s="9"/>
      <c r="J113" s="11"/>
      <c r="K113" s="11"/>
      <c r="L113" s="9"/>
      <c r="M113" s="9"/>
      <c r="N113" s="9"/>
      <c r="O113" s="9"/>
      <c r="P113" s="11"/>
      <c r="Q113" s="11"/>
      <c r="R113" s="17" t="str">
        <f t="shared" si="3"/>
        <v>|||</v>
      </c>
    </row>
    <row r="114" spans="1:18" ht="18" customHeight="1" x14ac:dyDescent="0.25">
      <c r="A114" s="18">
        <v>111</v>
      </c>
      <c r="B114" s="10"/>
      <c r="C114" s="19"/>
      <c r="D114" s="9"/>
      <c r="E114" s="9"/>
      <c r="F114" s="11"/>
      <c r="G114" s="9"/>
      <c r="H114" s="9"/>
      <c r="I114" s="9"/>
      <c r="J114" s="11"/>
      <c r="K114" s="11"/>
      <c r="L114" s="9"/>
      <c r="M114" s="9"/>
      <c r="N114" s="9"/>
      <c r="O114" s="9"/>
      <c r="P114" s="11"/>
      <c r="Q114" s="11"/>
      <c r="R114" s="17" t="str">
        <f t="shared" si="3"/>
        <v>|||</v>
      </c>
    </row>
    <row r="115" spans="1:18" ht="18" customHeight="1" x14ac:dyDescent="0.25">
      <c r="A115" s="18">
        <v>112</v>
      </c>
      <c r="B115" s="10"/>
      <c r="C115" s="19"/>
      <c r="D115" s="9"/>
      <c r="E115" s="9"/>
      <c r="F115" s="11"/>
      <c r="G115" s="9"/>
      <c r="H115" s="9"/>
      <c r="I115" s="9"/>
      <c r="J115" s="11"/>
      <c r="K115" s="11"/>
      <c r="L115" s="9"/>
      <c r="M115" s="9"/>
      <c r="N115" s="9"/>
      <c r="O115" s="9"/>
      <c r="P115" s="11"/>
      <c r="Q115" s="11"/>
      <c r="R115" s="17" t="str">
        <f t="shared" si="3"/>
        <v>|||</v>
      </c>
    </row>
    <row r="116" spans="1:18" ht="18" customHeight="1" x14ac:dyDescent="0.25">
      <c r="A116" s="18">
        <v>113</v>
      </c>
      <c r="B116" s="10"/>
      <c r="C116" s="19"/>
      <c r="D116" s="9"/>
      <c r="E116" s="9"/>
      <c r="F116" s="11"/>
      <c r="G116" s="9"/>
      <c r="H116" s="9"/>
      <c r="I116" s="9"/>
      <c r="J116" s="11"/>
      <c r="K116" s="11"/>
      <c r="L116" s="9"/>
      <c r="M116" s="9"/>
      <c r="N116" s="9"/>
      <c r="O116" s="9"/>
      <c r="P116" s="11"/>
      <c r="Q116" s="11"/>
      <c r="R116" s="17" t="str">
        <f t="shared" si="3"/>
        <v>|||</v>
      </c>
    </row>
    <row r="117" spans="1:18" ht="18" customHeight="1" x14ac:dyDescent="0.25">
      <c r="A117" s="18">
        <v>114</v>
      </c>
      <c r="B117" s="10"/>
      <c r="C117" s="19"/>
      <c r="D117" s="9"/>
      <c r="E117" s="9"/>
      <c r="F117" s="11"/>
      <c r="G117" s="9"/>
      <c r="H117" s="9"/>
      <c r="I117" s="9"/>
      <c r="J117" s="11"/>
      <c r="K117" s="11"/>
      <c r="L117" s="9"/>
      <c r="M117" s="9"/>
      <c r="N117" s="9"/>
      <c r="O117" s="9"/>
      <c r="P117" s="11"/>
      <c r="Q117" s="11"/>
      <c r="R117" s="17" t="str">
        <f t="shared" si="3"/>
        <v>|||</v>
      </c>
    </row>
    <row r="118" spans="1:18" ht="18" customHeight="1" x14ac:dyDescent="0.25">
      <c r="A118" s="18">
        <v>115</v>
      </c>
      <c r="B118" s="10"/>
      <c r="C118" s="19"/>
      <c r="D118" s="9"/>
      <c r="E118" s="9"/>
      <c r="F118" s="11"/>
      <c r="G118" s="9"/>
      <c r="H118" s="9"/>
      <c r="I118" s="9"/>
      <c r="J118" s="11"/>
      <c r="K118" s="11"/>
      <c r="L118" s="9"/>
      <c r="M118" s="9"/>
      <c r="N118" s="9"/>
      <c r="O118" s="9"/>
      <c r="P118" s="11"/>
      <c r="Q118" s="11"/>
      <c r="R118" s="17" t="str">
        <f t="shared" si="3"/>
        <v>|||</v>
      </c>
    </row>
    <row r="119" spans="1:18" ht="18" customHeight="1" x14ac:dyDescent="0.25">
      <c r="A119" s="18">
        <v>116</v>
      </c>
      <c r="B119" s="10"/>
      <c r="C119" s="19"/>
      <c r="D119" s="9"/>
      <c r="E119" s="9"/>
      <c r="F119" s="11"/>
      <c r="G119" s="9"/>
      <c r="H119" s="9"/>
      <c r="I119" s="9"/>
      <c r="J119" s="11"/>
      <c r="K119" s="11"/>
      <c r="L119" s="9"/>
      <c r="M119" s="9"/>
      <c r="N119" s="9"/>
      <c r="O119" s="9"/>
      <c r="P119" s="11"/>
      <c r="Q119" s="11"/>
      <c r="R119" s="17" t="str">
        <f t="shared" si="3"/>
        <v>|||</v>
      </c>
    </row>
    <row r="120" spans="1:18" ht="18" customHeight="1" x14ac:dyDescent="0.25">
      <c r="A120" s="18">
        <v>117</v>
      </c>
      <c r="B120" s="10"/>
      <c r="C120" s="19"/>
      <c r="D120" s="9"/>
      <c r="E120" s="9"/>
      <c r="F120" s="11"/>
      <c r="G120" s="9"/>
      <c r="H120" s="9"/>
      <c r="I120" s="9"/>
      <c r="J120" s="11"/>
      <c r="K120" s="11"/>
      <c r="L120" s="9"/>
      <c r="M120" s="9"/>
      <c r="N120" s="9"/>
      <c r="O120" s="9"/>
      <c r="P120" s="11"/>
      <c r="Q120" s="11"/>
      <c r="R120" s="17" t="str">
        <f t="shared" si="3"/>
        <v>|||</v>
      </c>
    </row>
    <row r="121" spans="1:18" ht="18" customHeight="1" x14ac:dyDescent="0.25">
      <c r="A121" s="18">
        <v>118</v>
      </c>
      <c r="B121" s="10"/>
      <c r="C121" s="19"/>
      <c r="D121" s="9"/>
      <c r="E121" s="9"/>
      <c r="F121" s="11"/>
      <c r="G121" s="9"/>
      <c r="H121" s="9"/>
      <c r="I121" s="9"/>
      <c r="J121" s="11"/>
      <c r="K121" s="11"/>
      <c r="L121" s="9"/>
      <c r="M121" s="9"/>
      <c r="N121" s="9"/>
      <c r="O121" s="9"/>
      <c r="P121" s="11"/>
      <c r="Q121" s="11"/>
      <c r="R121" s="17" t="str">
        <f t="shared" si="3"/>
        <v>|||</v>
      </c>
    </row>
    <row r="122" spans="1:18" ht="18" customHeight="1" x14ac:dyDescent="0.25">
      <c r="A122" s="18">
        <v>119</v>
      </c>
      <c r="B122" s="10"/>
      <c r="C122" s="19"/>
      <c r="D122" s="9"/>
      <c r="E122" s="9"/>
      <c r="F122" s="11"/>
      <c r="G122" s="9"/>
      <c r="H122" s="9"/>
      <c r="I122" s="9"/>
      <c r="J122" s="11"/>
      <c r="K122" s="11"/>
      <c r="L122" s="9"/>
      <c r="M122" s="9"/>
      <c r="N122" s="9"/>
      <c r="O122" s="9"/>
      <c r="P122" s="11"/>
      <c r="Q122" s="11"/>
      <c r="R122" s="17" t="str">
        <f t="shared" si="3"/>
        <v>|||</v>
      </c>
    </row>
    <row r="123" spans="1:18" ht="18" customHeight="1" x14ac:dyDescent="0.25">
      <c r="A123" s="18">
        <v>120</v>
      </c>
      <c r="B123" s="10"/>
      <c r="C123" s="19"/>
      <c r="D123" s="9"/>
      <c r="E123" s="9"/>
      <c r="F123" s="11"/>
      <c r="G123" s="9"/>
      <c r="H123" s="9"/>
      <c r="I123" s="9"/>
      <c r="J123" s="11"/>
      <c r="K123" s="11"/>
      <c r="L123" s="9"/>
      <c r="M123" s="9"/>
      <c r="N123" s="9"/>
      <c r="O123" s="9"/>
      <c r="P123" s="11"/>
      <c r="Q123" s="11"/>
      <c r="R123" s="17" t="str">
        <f t="shared" si="3"/>
        <v>|||</v>
      </c>
    </row>
    <row r="124" spans="1:18" ht="18" customHeight="1" x14ac:dyDescent="0.25">
      <c r="A124" s="18">
        <v>121</v>
      </c>
      <c r="B124" s="10"/>
      <c r="C124" s="19"/>
      <c r="D124" s="9"/>
      <c r="E124" s="9"/>
      <c r="F124" s="11"/>
      <c r="G124" s="9"/>
      <c r="H124" s="9"/>
      <c r="I124" s="9"/>
      <c r="J124" s="11"/>
      <c r="K124" s="11"/>
      <c r="L124" s="9"/>
      <c r="M124" s="9"/>
      <c r="N124" s="9"/>
      <c r="O124" s="9"/>
      <c r="P124" s="11"/>
      <c r="Q124" s="11"/>
      <c r="R124" s="17" t="str">
        <f t="shared" si="3"/>
        <v>|||</v>
      </c>
    </row>
    <row r="125" spans="1:18" ht="18" customHeight="1" x14ac:dyDescent="0.25">
      <c r="A125" s="18">
        <v>122</v>
      </c>
      <c r="B125" s="10"/>
      <c r="C125" s="19"/>
      <c r="D125" s="9"/>
      <c r="E125" s="9"/>
      <c r="F125" s="11"/>
      <c r="G125" s="9"/>
      <c r="H125" s="9"/>
      <c r="I125" s="9"/>
      <c r="J125" s="11"/>
      <c r="K125" s="11"/>
      <c r="L125" s="9"/>
      <c r="M125" s="9"/>
      <c r="N125" s="9"/>
      <c r="O125" s="9"/>
      <c r="P125" s="11"/>
      <c r="Q125" s="11"/>
      <c r="R125" s="17" t="str">
        <f t="shared" si="3"/>
        <v>|||</v>
      </c>
    </row>
    <row r="126" spans="1:18" ht="18" customHeight="1" x14ac:dyDescent="0.25">
      <c r="A126" s="18">
        <v>123</v>
      </c>
      <c r="B126" s="10"/>
      <c r="C126" s="19"/>
      <c r="D126" s="9"/>
      <c r="E126" s="9"/>
      <c r="F126" s="11"/>
      <c r="G126" s="9"/>
      <c r="H126" s="9"/>
      <c r="I126" s="9"/>
      <c r="J126" s="11"/>
      <c r="K126" s="11"/>
      <c r="L126" s="9"/>
      <c r="M126" s="9"/>
      <c r="N126" s="9"/>
      <c r="O126" s="9"/>
      <c r="P126" s="11"/>
      <c r="Q126" s="11"/>
      <c r="R126" s="17" t="str">
        <f t="shared" si="3"/>
        <v>|||</v>
      </c>
    </row>
    <row r="127" spans="1:18" ht="18" customHeight="1" x14ac:dyDescent="0.25">
      <c r="A127" s="18">
        <v>124</v>
      </c>
      <c r="B127" s="10"/>
      <c r="C127" s="19"/>
      <c r="D127" s="9"/>
      <c r="E127" s="9"/>
      <c r="F127" s="11"/>
      <c r="G127" s="9"/>
      <c r="H127" s="9"/>
      <c r="I127" s="9"/>
      <c r="J127" s="11"/>
      <c r="K127" s="11"/>
      <c r="L127" s="9"/>
      <c r="M127" s="9"/>
      <c r="N127" s="9"/>
      <c r="O127" s="9"/>
      <c r="P127" s="11"/>
      <c r="Q127" s="11"/>
      <c r="R127" s="17" t="str">
        <f t="shared" si="3"/>
        <v>|||</v>
      </c>
    </row>
    <row r="128" spans="1:18" ht="18" customHeight="1" x14ac:dyDescent="0.25">
      <c r="A128" s="18">
        <v>125</v>
      </c>
      <c r="B128" s="10"/>
      <c r="C128" s="19"/>
      <c r="D128" s="9"/>
      <c r="E128" s="9"/>
      <c r="F128" s="11"/>
      <c r="G128" s="9"/>
      <c r="H128" s="9"/>
      <c r="I128" s="9"/>
      <c r="J128" s="11"/>
      <c r="K128" s="11"/>
      <c r="L128" s="9"/>
      <c r="M128" s="9"/>
      <c r="N128" s="9"/>
      <c r="O128" s="9"/>
      <c r="P128" s="11"/>
      <c r="Q128" s="11"/>
      <c r="R128" s="17" t="str">
        <f t="shared" si="3"/>
        <v>|||</v>
      </c>
    </row>
    <row r="129" spans="1:18" ht="18" customHeight="1" x14ac:dyDescent="0.25">
      <c r="A129" s="18">
        <v>126</v>
      </c>
      <c r="B129" s="10"/>
      <c r="C129" s="19"/>
      <c r="D129" s="9"/>
      <c r="E129" s="9"/>
      <c r="F129" s="11"/>
      <c r="G129" s="9"/>
      <c r="H129" s="9"/>
      <c r="I129" s="9"/>
      <c r="J129" s="11"/>
      <c r="K129" s="11"/>
      <c r="L129" s="9"/>
      <c r="M129" s="9"/>
      <c r="N129" s="9"/>
      <c r="O129" s="9"/>
      <c r="P129" s="11"/>
      <c r="Q129" s="11"/>
      <c r="R129" s="17" t="str">
        <f t="shared" si="3"/>
        <v>|||</v>
      </c>
    </row>
    <row r="130" spans="1:18" ht="18" customHeight="1" x14ac:dyDescent="0.25">
      <c r="A130" s="18">
        <v>127</v>
      </c>
      <c r="B130" s="10"/>
      <c r="C130" s="19"/>
      <c r="D130" s="9"/>
      <c r="E130" s="9"/>
      <c r="F130" s="11"/>
      <c r="G130" s="9"/>
      <c r="H130" s="9"/>
      <c r="I130" s="9"/>
      <c r="J130" s="11"/>
      <c r="K130" s="11"/>
      <c r="L130" s="9"/>
      <c r="M130" s="9"/>
      <c r="N130" s="9"/>
      <c r="O130" s="9"/>
      <c r="P130" s="11"/>
      <c r="Q130" s="11"/>
      <c r="R130" s="17" t="str">
        <f t="shared" si="3"/>
        <v>|||</v>
      </c>
    </row>
    <row r="131" spans="1:18" ht="18" customHeight="1" x14ac:dyDescent="0.25">
      <c r="A131" s="18">
        <v>128</v>
      </c>
      <c r="B131" s="10"/>
      <c r="C131" s="19"/>
      <c r="D131" s="9"/>
      <c r="E131" s="9"/>
      <c r="F131" s="11"/>
      <c r="G131" s="9"/>
      <c r="H131" s="9"/>
      <c r="I131" s="9"/>
      <c r="J131" s="11"/>
      <c r="K131" s="11"/>
      <c r="L131" s="9"/>
      <c r="M131" s="9"/>
      <c r="N131" s="9"/>
      <c r="O131" s="9"/>
      <c r="P131" s="11"/>
      <c r="Q131" s="11"/>
      <c r="R131" s="17" t="str">
        <f t="shared" si="3"/>
        <v>|||</v>
      </c>
    </row>
    <row r="132" spans="1:18" ht="18" customHeight="1" x14ac:dyDescent="0.25">
      <c r="A132" s="18">
        <v>129</v>
      </c>
      <c r="B132" s="10"/>
      <c r="C132" s="19"/>
      <c r="D132" s="9"/>
      <c r="E132" s="9"/>
      <c r="F132" s="11"/>
      <c r="G132" s="9"/>
      <c r="H132" s="9"/>
      <c r="I132" s="9"/>
      <c r="J132" s="11"/>
      <c r="K132" s="11"/>
      <c r="L132" s="9"/>
      <c r="M132" s="9"/>
      <c r="N132" s="9"/>
      <c r="O132" s="9"/>
      <c r="P132" s="11"/>
      <c r="Q132" s="11"/>
      <c r="R132" s="17" t="str">
        <f t="shared" ref="R132:R163" si="4">G132&amp;"|"&amp;E132&amp;"|"&amp;H132&amp;"|"&amp;I132</f>
        <v>|||</v>
      </c>
    </row>
    <row r="133" spans="1:18" ht="18" customHeight="1" x14ac:dyDescent="0.25">
      <c r="A133" s="18">
        <v>130</v>
      </c>
      <c r="B133" s="10"/>
      <c r="C133" s="19"/>
      <c r="D133" s="9"/>
      <c r="E133" s="9"/>
      <c r="F133" s="11"/>
      <c r="G133" s="9"/>
      <c r="H133" s="9"/>
      <c r="I133" s="9"/>
      <c r="J133" s="11"/>
      <c r="K133" s="11"/>
      <c r="L133" s="9"/>
      <c r="M133" s="9"/>
      <c r="N133" s="9"/>
      <c r="O133" s="9"/>
      <c r="P133" s="11"/>
      <c r="Q133" s="11"/>
      <c r="R133" s="17" t="str">
        <f t="shared" si="4"/>
        <v>|||</v>
      </c>
    </row>
    <row r="134" spans="1:18" ht="18" customHeight="1" x14ac:dyDescent="0.25">
      <c r="A134" s="18">
        <v>131</v>
      </c>
      <c r="B134" s="10"/>
      <c r="C134" s="19"/>
      <c r="D134" s="9"/>
      <c r="E134" s="9"/>
      <c r="F134" s="11"/>
      <c r="G134" s="9"/>
      <c r="H134" s="9"/>
      <c r="I134" s="9"/>
      <c r="J134" s="11"/>
      <c r="K134" s="11"/>
      <c r="L134" s="9"/>
      <c r="M134" s="9"/>
      <c r="N134" s="9"/>
      <c r="O134" s="9"/>
      <c r="P134" s="11"/>
      <c r="Q134" s="11"/>
      <c r="R134" s="17" t="str">
        <f t="shared" si="4"/>
        <v>|||</v>
      </c>
    </row>
    <row r="135" spans="1:18" ht="18" customHeight="1" x14ac:dyDescent="0.25">
      <c r="A135" s="18">
        <v>132</v>
      </c>
      <c r="B135" s="10"/>
      <c r="C135" s="19"/>
      <c r="D135" s="9"/>
      <c r="E135" s="9"/>
      <c r="F135" s="11"/>
      <c r="G135" s="9"/>
      <c r="H135" s="9"/>
      <c r="I135" s="9"/>
      <c r="J135" s="11"/>
      <c r="K135" s="11"/>
      <c r="L135" s="9"/>
      <c r="M135" s="9"/>
      <c r="N135" s="9"/>
      <c r="O135" s="9"/>
      <c r="P135" s="11"/>
      <c r="Q135" s="11"/>
      <c r="R135" s="17" t="str">
        <f t="shared" si="4"/>
        <v>|||</v>
      </c>
    </row>
    <row r="136" spans="1:18" ht="18" customHeight="1" x14ac:dyDescent="0.25">
      <c r="A136" s="18">
        <v>133</v>
      </c>
      <c r="B136" s="10"/>
      <c r="C136" s="19"/>
      <c r="D136" s="9"/>
      <c r="E136" s="9"/>
      <c r="F136" s="11"/>
      <c r="G136" s="9"/>
      <c r="H136" s="9"/>
      <c r="I136" s="9"/>
      <c r="J136" s="11"/>
      <c r="K136" s="11"/>
      <c r="L136" s="9"/>
      <c r="M136" s="9"/>
      <c r="N136" s="9"/>
      <c r="O136" s="9"/>
      <c r="P136" s="11"/>
      <c r="Q136" s="11"/>
      <c r="R136" s="17" t="str">
        <f t="shared" si="4"/>
        <v>|||</v>
      </c>
    </row>
    <row r="137" spans="1:18" ht="18" customHeight="1" x14ac:dyDescent="0.25">
      <c r="A137" s="18">
        <v>134</v>
      </c>
      <c r="B137" s="10"/>
      <c r="C137" s="19"/>
      <c r="D137" s="9"/>
      <c r="E137" s="9"/>
      <c r="F137" s="11"/>
      <c r="G137" s="9"/>
      <c r="H137" s="9"/>
      <c r="I137" s="9"/>
      <c r="J137" s="11"/>
      <c r="K137" s="11"/>
      <c r="L137" s="9"/>
      <c r="M137" s="9"/>
      <c r="N137" s="9"/>
      <c r="O137" s="9"/>
      <c r="P137" s="11"/>
      <c r="Q137" s="11"/>
      <c r="R137" s="17" t="str">
        <f t="shared" si="4"/>
        <v>|||</v>
      </c>
    </row>
    <row r="138" spans="1:18" ht="18" customHeight="1" x14ac:dyDescent="0.25">
      <c r="A138" s="18">
        <v>135</v>
      </c>
      <c r="B138" s="10"/>
      <c r="C138" s="19"/>
      <c r="D138" s="9"/>
      <c r="E138" s="9"/>
      <c r="F138" s="11"/>
      <c r="G138" s="9"/>
      <c r="H138" s="9"/>
      <c r="I138" s="9"/>
      <c r="J138" s="11"/>
      <c r="K138" s="11"/>
      <c r="L138" s="9"/>
      <c r="M138" s="9"/>
      <c r="N138" s="9"/>
      <c r="O138" s="9"/>
      <c r="P138" s="11"/>
      <c r="Q138" s="11"/>
      <c r="R138" s="17" t="str">
        <f t="shared" si="4"/>
        <v>|||</v>
      </c>
    </row>
    <row r="139" spans="1:18" ht="18" customHeight="1" x14ac:dyDescent="0.25">
      <c r="A139" s="18">
        <v>136</v>
      </c>
      <c r="B139" s="10"/>
      <c r="C139" s="19"/>
      <c r="D139" s="9"/>
      <c r="E139" s="9"/>
      <c r="F139" s="11"/>
      <c r="G139" s="9"/>
      <c r="H139" s="9"/>
      <c r="I139" s="9"/>
      <c r="J139" s="11"/>
      <c r="K139" s="11"/>
      <c r="L139" s="9"/>
      <c r="M139" s="9"/>
      <c r="N139" s="9"/>
      <c r="O139" s="9"/>
      <c r="P139" s="11"/>
      <c r="Q139" s="11"/>
      <c r="R139" s="17" t="str">
        <f t="shared" si="4"/>
        <v>|||</v>
      </c>
    </row>
    <row r="140" spans="1:18" ht="18" customHeight="1" x14ac:dyDescent="0.25">
      <c r="A140" s="18">
        <v>137</v>
      </c>
      <c r="B140" s="10"/>
      <c r="C140" s="19"/>
      <c r="D140" s="9"/>
      <c r="E140" s="9"/>
      <c r="F140" s="11"/>
      <c r="G140" s="9"/>
      <c r="H140" s="9"/>
      <c r="I140" s="9"/>
      <c r="J140" s="11"/>
      <c r="K140" s="11"/>
      <c r="L140" s="9"/>
      <c r="M140" s="9"/>
      <c r="N140" s="9"/>
      <c r="O140" s="9"/>
      <c r="P140" s="11"/>
      <c r="Q140" s="11"/>
      <c r="R140" s="17" t="str">
        <f t="shared" si="4"/>
        <v>|||</v>
      </c>
    </row>
    <row r="141" spans="1:18" ht="18" customHeight="1" x14ac:dyDescent="0.25">
      <c r="A141" s="18">
        <v>138</v>
      </c>
      <c r="B141" s="10"/>
      <c r="C141" s="19"/>
      <c r="D141" s="9"/>
      <c r="E141" s="9"/>
      <c r="F141" s="11"/>
      <c r="G141" s="9"/>
      <c r="H141" s="9"/>
      <c r="I141" s="9"/>
      <c r="J141" s="11"/>
      <c r="K141" s="11"/>
      <c r="L141" s="9"/>
      <c r="M141" s="9"/>
      <c r="N141" s="9"/>
      <c r="O141" s="9"/>
      <c r="P141" s="11"/>
      <c r="Q141" s="11"/>
      <c r="R141" s="17" t="str">
        <f t="shared" si="4"/>
        <v>|||</v>
      </c>
    </row>
    <row r="142" spans="1:18" ht="18" customHeight="1" x14ac:dyDescent="0.25">
      <c r="A142" s="18">
        <v>139</v>
      </c>
      <c r="B142" s="10"/>
      <c r="C142" s="19"/>
      <c r="D142" s="9"/>
      <c r="E142" s="9"/>
      <c r="F142" s="11"/>
      <c r="G142" s="9"/>
      <c r="H142" s="9"/>
      <c r="I142" s="9"/>
      <c r="J142" s="11"/>
      <c r="K142" s="11"/>
      <c r="L142" s="9"/>
      <c r="M142" s="9"/>
      <c r="N142" s="9"/>
      <c r="O142" s="9"/>
      <c r="P142" s="11"/>
      <c r="Q142" s="11"/>
      <c r="R142" s="17" t="str">
        <f t="shared" si="4"/>
        <v>|||</v>
      </c>
    </row>
    <row r="143" spans="1:18" ht="18" customHeight="1" x14ac:dyDescent="0.25">
      <c r="A143" s="18">
        <v>140</v>
      </c>
      <c r="B143" s="10"/>
      <c r="C143" s="19"/>
      <c r="D143" s="9"/>
      <c r="E143" s="9"/>
      <c r="F143" s="11"/>
      <c r="G143" s="9"/>
      <c r="H143" s="9"/>
      <c r="I143" s="9"/>
      <c r="J143" s="11"/>
      <c r="K143" s="11"/>
      <c r="L143" s="9"/>
      <c r="M143" s="9"/>
      <c r="N143" s="9"/>
      <c r="O143" s="9"/>
      <c r="P143" s="11"/>
      <c r="Q143" s="11"/>
      <c r="R143" s="17" t="str">
        <f t="shared" si="4"/>
        <v>|||</v>
      </c>
    </row>
    <row r="144" spans="1:18" ht="18" customHeight="1" x14ac:dyDescent="0.25">
      <c r="A144" s="18">
        <v>141</v>
      </c>
      <c r="B144" s="10"/>
      <c r="C144" s="19"/>
      <c r="D144" s="9"/>
      <c r="E144" s="9"/>
      <c r="F144" s="11"/>
      <c r="G144" s="9"/>
      <c r="H144" s="9"/>
      <c r="I144" s="9"/>
      <c r="J144" s="11"/>
      <c r="K144" s="11"/>
      <c r="L144" s="9"/>
      <c r="M144" s="9"/>
      <c r="N144" s="9"/>
      <c r="O144" s="9"/>
      <c r="P144" s="11"/>
      <c r="Q144" s="11"/>
      <c r="R144" s="17" t="str">
        <f t="shared" si="4"/>
        <v>|||</v>
      </c>
    </row>
    <row r="145" spans="1:18" ht="18" customHeight="1" x14ac:dyDescent="0.25">
      <c r="A145" s="18">
        <v>142</v>
      </c>
      <c r="B145" s="10"/>
      <c r="C145" s="19"/>
      <c r="D145" s="9"/>
      <c r="E145" s="9"/>
      <c r="F145" s="11"/>
      <c r="G145" s="9"/>
      <c r="H145" s="9"/>
      <c r="I145" s="9"/>
      <c r="J145" s="11"/>
      <c r="K145" s="11"/>
      <c r="L145" s="9"/>
      <c r="M145" s="9"/>
      <c r="N145" s="9"/>
      <c r="O145" s="9"/>
      <c r="P145" s="11"/>
      <c r="Q145" s="11"/>
      <c r="R145" s="17" t="str">
        <f t="shared" si="4"/>
        <v>|||</v>
      </c>
    </row>
    <row r="146" spans="1:18" ht="18" customHeight="1" x14ac:dyDescent="0.25">
      <c r="A146" s="18">
        <v>143</v>
      </c>
      <c r="B146" s="10"/>
      <c r="C146" s="19"/>
      <c r="D146" s="9"/>
      <c r="E146" s="9"/>
      <c r="F146" s="11"/>
      <c r="G146" s="9"/>
      <c r="H146" s="9"/>
      <c r="I146" s="9"/>
      <c r="J146" s="11"/>
      <c r="K146" s="11"/>
      <c r="L146" s="9"/>
      <c r="M146" s="9"/>
      <c r="N146" s="9"/>
      <c r="O146" s="9"/>
      <c r="P146" s="11"/>
      <c r="Q146" s="11"/>
      <c r="R146" s="17" t="str">
        <f t="shared" si="4"/>
        <v>|||</v>
      </c>
    </row>
    <row r="147" spans="1:18" ht="18" customHeight="1" x14ac:dyDescent="0.25">
      <c r="A147" s="18">
        <v>144</v>
      </c>
      <c r="B147" s="10"/>
      <c r="C147" s="19"/>
      <c r="D147" s="9"/>
      <c r="E147" s="9"/>
      <c r="F147" s="11"/>
      <c r="G147" s="9"/>
      <c r="H147" s="9"/>
      <c r="I147" s="9"/>
      <c r="J147" s="11"/>
      <c r="K147" s="11"/>
      <c r="L147" s="9"/>
      <c r="M147" s="9"/>
      <c r="N147" s="9"/>
      <c r="O147" s="9"/>
      <c r="P147" s="11"/>
      <c r="Q147" s="11"/>
      <c r="R147" s="17" t="str">
        <f t="shared" si="4"/>
        <v>|||</v>
      </c>
    </row>
    <row r="148" spans="1:18" ht="18" customHeight="1" x14ac:dyDescent="0.25">
      <c r="A148" s="18">
        <v>145</v>
      </c>
      <c r="B148" s="10"/>
      <c r="C148" s="19"/>
      <c r="D148" s="9"/>
      <c r="E148" s="9"/>
      <c r="F148" s="11"/>
      <c r="G148" s="9"/>
      <c r="H148" s="9"/>
      <c r="I148" s="9"/>
      <c r="J148" s="11"/>
      <c r="K148" s="11"/>
      <c r="L148" s="9"/>
      <c r="M148" s="9"/>
      <c r="N148" s="9"/>
      <c r="O148" s="9"/>
      <c r="P148" s="11"/>
      <c r="Q148" s="11"/>
      <c r="R148" s="17" t="str">
        <f t="shared" si="4"/>
        <v>|||</v>
      </c>
    </row>
    <row r="149" spans="1:18" ht="18" customHeight="1" x14ac:dyDescent="0.25">
      <c r="A149" s="18">
        <v>146</v>
      </c>
      <c r="B149" s="10"/>
      <c r="C149" s="19"/>
      <c r="D149" s="9"/>
      <c r="E149" s="9"/>
      <c r="F149" s="11"/>
      <c r="G149" s="9"/>
      <c r="H149" s="9"/>
      <c r="I149" s="9"/>
      <c r="J149" s="11"/>
      <c r="K149" s="11"/>
      <c r="L149" s="9"/>
      <c r="M149" s="9"/>
      <c r="N149" s="9"/>
      <c r="O149" s="9"/>
      <c r="P149" s="11"/>
      <c r="Q149" s="11"/>
      <c r="R149" s="17" t="str">
        <f t="shared" si="4"/>
        <v>|||</v>
      </c>
    </row>
    <row r="150" spans="1:18" ht="18" customHeight="1" x14ac:dyDescent="0.25">
      <c r="A150" s="18">
        <v>147</v>
      </c>
      <c r="B150" s="10"/>
      <c r="C150" s="19"/>
      <c r="D150" s="9"/>
      <c r="E150" s="9"/>
      <c r="F150" s="11"/>
      <c r="G150" s="9"/>
      <c r="H150" s="9"/>
      <c r="I150" s="9"/>
      <c r="J150" s="11"/>
      <c r="K150" s="11"/>
      <c r="L150" s="9"/>
      <c r="M150" s="9"/>
      <c r="N150" s="9"/>
      <c r="O150" s="9"/>
      <c r="P150" s="11"/>
      <c r="Q150" s="11"/>
      <c r="R150" s="17" t="str">
        <f t="shared" si="4"/>
        <v>|||</v>
      </c>
    </row>
    <row r="151" spans="1:18" ht="18" customHeight="1" x14ac:dyDescent="0.25">
      <c r="A151" s="18">
        <v>148</v>
      </c>
      <c r="B151" s="10"/>
      <c r="C151" s="19"/>
      <c r="D151" s="9"/>
      <c r="E151" s="9"/>
      <c r="F151" s="11"/>
      <c r="G151" s="9"/>
      <c r="H151" s="9"/>
      <c r="I151" s="9"/>
      <c r="J151" s="11"/>
      <c r="K151" s="11"/>
      <c r="L151" s="9"/>
      <c r="M151" s="9"/>
      <c r="N151" s="9"/>
      <c r="O151" s="9"/>
      <c r="P151" s="11"/>
      <c r="Q151" s="11"/>
      <c r="R151" s="17" t="str">
        <f t="shared" si="4"/>
        <v>|||</v>
      </c>
    </row>
    <row r="152" spans="1:18" ht="18" customHeight="1" x14ac:dyDescent="0.25">
      <c r="A152" s="18">
        <v>149</v>
      </c>
      <c r="B152" s="10"/>
      <c r="C152" s="19"/>
      <c r="D152" s="9"/>
      <c r="E152" s="9"/>
      <c r="F152" s="11"/>
      <c r="G152" s="9"/>
      <c r="H152" s="9"/>
      <c r="I152" s="9"/>
      <c r="J152" s="11"/>
      <c r="K152" s="11"/>
      <c r="L152" s="9"/>
      <c r="M152" s="9"/>
      <c r="N152" s="9"/>
      <c r="O152" s="9"/>
      <c r="P152" s="11"/>
      <c r="Q152" s="11"/>
      <c r="R152" s="17" t="str">
        <f t="shared" si="4"/>
        <v>|||</v>
      </c>
    </row>
    <row r="153" spans="1:18" ht="18" customHeight="1" x14ac:dyDescent="0.25">
      <c r="A153" s="18">
        <v>150</v>
      </c>
      <c r="B153" s="10"/>
      <c r="C153" s="19"/>
      <c r="D153" s="9"/>
      <c r="E153" s="9"/>
      <c r="F153" s="11"/>
      <c r="G153" s="9"/>
      <c r="H153" s="9"/>
      <c r="I153" s="9"/>
      <c r="J153" s="11"/>
      <c r="K153" s="11"/>
      <c r="L153" s="9"/>
      <c r="M153" s="9"/>
      <c r="N153" s="9"/>
      <c r="O153" s="9"/>
      <c r="P153" s="11"/>
      <c r="Q153" s="11"/>
      <c r="R153" s="17" t="str">
        <f t="shared" si="4"/>
        <v>|||</v>
      </c>
    </row>
    <row r="154" spans="1:18" ht="18" customHeight="1" x14ac:dyDescent="0.25">
      <c r="A154" s="18">
        <v>151</v>
      </c>
      <c r="B154" s="10"/>
      <c r="C154" s="19"/>
      <c r="D154" s="9"/>
      <c r="E154" s="9"/>
      <c r="F154" s="11"/>
      <c r="G154" s="9"/>
      <c r="H154" s="9"/>
      <c r="I154" s="9"/>
      <c r="J154" s="11"/>
      <c r="K154" s="11"/>
      <c r="L154" s="9"/>
      <c r="M154" s="9"/>
      <c r="N154" s="9"/>
      <c r="O154" s="9"/>
      <c r="P154" s="11"/>
      <c r="Q154" s="11"/>
      <c r="R154" s="17" t="str">
        <f t="shared" si="4"/>
        <v>|||</v>
      </c>
    </row>
    <row r="155" spans="1:18" ht="18" customHeight="1" x14ac:dyDescent="0.25">
      <c r="A155" s="18">
        <v>152</v>
      </c>
      <c r="B155" s="10"/>
      <c r="C155" s="19"/>
      <c r="D155" s="9"/>
      <c r="E155" s="9"/>
      <c r="F155" s="11"/>
      <c r="G155" s="9"/>
      <c r="H155" s="9"/>
      <c r="I155" s="9"/>
      <c r="J155" s="11"/>
      <c r="K155" s="11"/>
      <c r="L155" s="9"/>
      <c r="M155" s="9"/>
      <c r="N155" s="9"/>
      <c r="O155" s="9"/>
      <c r="P155" s="11"/>
      <c r="Q155" s="11"/>
      <c r="R155" s="17" t="str">
        <f t="shared" si="4"/>
        <v>|||</v>
      </c>
    </row>
    <row r="156" spans="1:18" ht="18" customHeight="1" x14ac:dyDescent="0.25">
      <c r="A156" s="18">
        <v>153</v>
      </c>
      <c r="B156" s="10"/>
      <c r="C156" s="19"/>
      <c r="D156" s="9"/>
      <c r="E156" s="9"/>
      <c r="F156" s="11"/>
      <c r="G156" s="9"/>
      <c r="H156" s="9"/>
      <c r="I156" s="9"/>
      <c r="J156" s="11"/>
      <c r="K156" s="11"/>
      <c r="L156" s="9"/>
      <c r="M156" s="9"/>
      <c r="N156" s="9"/>
      <c r="O156" s="9"/>
      <c r="P156" s="11"/>
      <c r="Q156" s="11"/>
      <c r="R156" s="17" t="str">
        <f t="shared" si="4"/>
        <v>|||</v>
      </c>
    </row>
    <row r="157" spans="1:18" ht="18" customHeight="1" x14ac:dyDescent="0.25">
      <c r="A157" s="18">
        <v>154</v>
      </c>
      <c r="B157" s="10"/>
      <c r="C157" s="19"/>
      <c r="D157" s="9"/>
      <c r="E157" s="9"/>
      <c r="F157" s="11"/>
      <c r="G157" s="9"/>
      <c r="H157" s="9"/>
      <c r="I157" s="9"/>
      <c r="J157" s="11"/>
      <c r="K157" s="11"/>
      <c r="L157" s="9"/>
      <c r="M157" s="9"/>
      <c r="N157" s="9"/>
      <c r="O157" s="9"/>
      <c r="P157" s="11"/>
      <c r="Q157" s="11"/>
      <c r="R157" s="17" t="str">
        <f t="shared" si="4"/>
        <v>|||</v>
      </c>
    </row>
    <row r="158" spans="1:18" ht="18" customHeight="1" x14ac:dyDescent="0.25">
      <c r="A158" s="18">
        <v>155</v>
      </c>
      <c r="B158" s="10"/>
      <c r="C158" s="19"/>
      <c r="D158" s="9"/>
      <c r="E158" s="9"/>
      <c r="F158" s="11"/>
      <c r="G158" s="9"/>
      <c r="H158" s="9"/>
      <c r="I158" s="9"/>
      <c r="J158" s="11"/>
      <c r="K158" s="11"/>
      <c r="L158" s="9"/>
      <c r="M158" s="9"/>
      <c r="N158" s="9"/>
      <c r="O158" s="9"/>
      <c r="P158" s="11"/>
      <c r="Q158" s="11"/>
      <c r="R158" s="17" t="str">
        <f t="shared" si="4"/>
        <v>|||</v>
      </c>
    </row>
    <row r="159" spans="1:18" ht="18" customHeight="1" x14ac:dyDescent="0.25">
      <c r="A159" s="18">
        <v>156</v>
      </c>
      <c r="B159" s="10"/>
      <c r="C159" s="19"/>
      <c r="D159" s="9"/>
      <c r="E159" s="9"/>
      <c r="F159" s="11"/>
      <c r="G159" s="9"/>
      <c r="H159" s="9"/>
      <c r="I159" s="9"/>
      <c r="J159" s="11"/>
      <c r="K159" s="11"/>
      <c r="L159" s="9"/>
      <c r="M159" s="9"/>
      <c r="N159" s="9"/>
      <c r="O159" s="9"/>
      <c r="P159" s="11"/>
      <c r="Q159" s="11"/>
      <c r="R159" s="17" t="str">
        <f t="shared" si="4"/>
        <v>|||</v>
      </c>
    </row>
    <row r="160" spans="1:18" ht="18" customHeight="1" x14ac:dyDescent="0.25">
      <c r="A160" s="18">
        <v>157</v>
      </c>
      <c r="B160" s="10"/>
      <c r="C160" s="19"/>
      <c r="D160" s="9"/>
      <c r="E160" s="9"/>
      <c r="F160" s="11"/>
      <c r="G160" s="9"/>
      <c r="H160" s="9"/>
      <c r="I160" s="9"/>
      <c r="J160" s="11"/>
      <c r="K160" s="11"/>
      <c r="L160" s="9"/>
      <c r="M160" s="9"/>
      <c r="N160" s="9"/>
      <c r="O160" s="9"/>
      <c r="P160" s="11"/>
      <c r="Q160" s="11"/>
      <c r="R160" s="17" t="str">
        <f t="shared" si="4"/>
        <v>|||</v>
      </c>
    </row>
    <row r="161" spans="1:18" ht="18" customHeight="1" x14ac:dyDescent="0.25">
      <c r="A161" s="18">
        <v>158</v>
      </c>
      <c r="B161" s="10"/>
      <c r="C161" s="19"/>
      <c r="D161" s="9"/>
      <c r="E161" s="9"/>
      <c r="F161" s="11"/>
      <c r="G161" s="9"/>
      <c r="H161" s="9"/>
      <c r="I161" s="9"/>
      <c r="J161" s="11"/>
      <c r="K161" s="11"/>
      <c r="L161" s="9"/>
      <c r="M161" s="9"/>
      <c r="N161" s="9"/>
      <c r="O161" s="9"/>
      <c r="P161" s="11"/>
      <c r="Q161" s="11"/>
      <c r="R161" s="17" t="str">
        <f t="shared" si="4"/>
        <v>|||</v>
      </c>
    </row>
    <row r="162" spans="1:18" ht="18" customHeight="1" x14ac:dyDescent="0.25">
      <c r="A162" s="18">
        <v>159</v>
      </c>
      <c r="B162" s="10"/>
      <c r="C162" s="19"/>
      <c r="D162" s="9"/>
      <c r="E162" s="9"/>
      <c r="F162" s="11"/>
      <c r="G162" s="9"/>
      <c r="H162" s="9"/>
      <c r="I162" s="9"/>
      <c r="J162" s="11"/>
      <c r="K162" s="11"/>
      <c r="L162" s="9"/>
      <c r="M162" s="9"/>
      <c r="N162" s="9"/>
      <c r="O162" s="9"/>
      <c r="P162" s="11"/>
      <c r="Q162" s="11"/>
      <c r="R162" s="17" t="str">
        <f t="shared" si="4"/>
        <v>|||</v>
      </c>
    </row>
    <row r="163" spans="1:18" ht="18" customHeight="1" x14ac:dyDescent="0.25">
      <c r="A163" s="18">
        <v>160</v>
      </c>
      <c r="B163" s="10"/>
      <c r="C163" s="19"/>
      <c r="D163" s="9"/>
      <c r="E163" s="9"/>
      <c r="F163" s="11"/>
      <c r="G163" s="9"/>
      <c r="H163" s="9"/>
      <c r="I163" s="9"/>
      <c r="J163" s="11"/>
      <c r="K163" s="11"/>
      <c r="L163" s="9"/>
      <c r="M163" s="9"/>
      <c r="N163" s="9"/>
      <c r="O163" s="9"/>
      <c r="P163" s="11"/>
      <c r="Q163" s="11"/>
      <c r="R163" s="17" t="str">
        <f t="shared" si="4"/>
        <v>|||</v>
      </c>
    </row>
    <row r="164" spans="1:18" ht="18" customHeight="1" x14ac:dyDescent="0.25">
      <c r="A164" s="18">
        <v>161</v>
      </c>
      <c r="B164" s="10"/>
      <c r="C164" s="19"/>
      <c r="D164" s="9"/>
      <c r="E164" s="9"/>
      <c r="F164" s="11"/>
      <c r="G164" s="9"/>
      <c r="H164" s="9"/>
      <c r="I164" s="9"/>
      <c r="J164" s="11"/>
      <c r="K164" s="11"/>
      <c r="L164" s="9"/>
      <c r="M164" s="9"/>
      <c r="N164" s="9"/>
      <c r="O164" s="9"/>
      <c r="P164" s="11"/>
      <c r="Q164" s="11"/>
      <c r="R164" s="17" t="str">
        <f t="shared" ref="R164:R173" si="5">G164&amp;"|"&amp;E164&amp;"|"&amp;H164&amp;"|"&amp;I164</f>
        <v>|||</v>
      </c>
    </row>
    <row r="165" spans="1:18" ht="18" customHeight="1" x14ac:dyDescent="0.25">
      <c r="A165" s="18">
        <v>162</v>
      </c>
      <c r="B165" s="10"/>
      <c r="C165" s="19"/>
      <c r="D165" s="9"/>
      <c r="E165" s="9"/>
      <c r="F165" s="11"/>
      <c r="G165" s="9"/>
      <c r="H165" s="9"/>
      <c r="I165" s="9"/>
      <c r="J165" s="11"/>
      <c r="K165" s="11"/>
      <c r="L165" s="9"/>
      <c r="M165" s="9"/>
      <c r="N165" s="9"/>
      <c r="O165" s="9"/>
      <c r="P165" s="11"/>
      <c r="Q165" s="11"/>
      <c r="R165" s="17" t="str">
        <f t="shared" si="5"/>
        <v>|||</v>
      </c>
    </row>
    <row r="166" spans="1:18" ht="18" customHeight="1" x14ac:dyDescent="0.25">
      <c r="A166" s="18">
        <v>163</v>
      </c>
      <c r="B166" s="10"/>
      <c r="C166" s="19"/>
      <c r="D166" s="9"/>
      <c r="E166" s="9"/>
      <c r="F166" s="11"/>
      <c r="G166" s="9"/>
      <c r="H166" s="9"/>
      <c r="I166" s="9"/>
      <c r="J166" s="11"/>
      <c r="K166" s="11"/>
      <c r="L166" s="9"/>
      <c r="M166" s="9"/>
      <c r="N166" s="9"/>
      <c r="O166" s="9"/>
      <c r="P166" s="11"/>
      <c r="Q166" s="11"/>
      <c r="R166" s="17" t="str">
        <f t="shared" si="5"/>
        <v>|||</v>
      </c>
    </row>
    <row r="167" spans="1:18" ht="18" customHeight="1" x14ac:dyDescent="0.25">
      <c r="A167" s="18">
        <v>164</v>
      </c>
      <c r="B167" s="10"/>
      <c r="C167" s="19"/>
      <c r="D167" s="9"/>
      <c r="E167" s="9"/>
      <c r="F167" s="11"/>
      <c r="G167" s="9"/>
      <c r="H167" s="9"/>
      <c r="I167" s="9"/>
      <c r="J167" s="11"/>
      <c r="K167" s="11"/>
      <c r="L167" s="9"/>
      <c r="M167" s="9"/>
      <c r="N167" s="9"/>
      <c r="O167" s="9"/>
      <c r="P167" s="11"/>
      <c r="Q167" s="11"/>
      <c r="R167" s="17" t="str">
        <f t="shared" si="5"/>
        <v>|||</v>
      </c>
    </row>
    <row r="168" spans="1:18" ht="18" customHeight="1" x14ac:dyDescent="0.25">
      <c r="A168" s="18">
        <v>165</v>
      </c>
      <c r="B168" s="10"/>
      <c r="C168" s="19"/>
      <c r="D168" s="9"/>
      <c r="E168" s="9"/>
      <c r="F168" s="11"/>
      <c r="G168" s="9"/>
      <c r="H168" s="9"/>
      <c r="I168" s="9"/>
      <c r="J168" s="11"/>
      <c r="K168" s="11"/>
      <c r="L168" s="9"/>
      <c r="M168" s="9"/>
      <c r="N168" s="9"/>
      <c r="O168" s="9"/>
      <c r="P168" s="11"/>
      <c r="Q168" s="11"/>
      <c r="R168" s="17" t="str">
        <f t="shared" si="5"/>
        <v>|||</v>
      </c>
    </row>
    <row r="169" spans="1:18" ht="18" customHeight="1" x14ac:dyDescent="0.25">
      <c r="A169" s="18">
        <v>166</v>
      </c>
      <c r="B169" s="10"/>
      <c r="C169" s="19"/>
      <c r="D169" s="9"/>
      <c r="E169" s="9"/>
      <c r="F169" s="11"/>
      <c r="G169" s="9"/>
      <c r="H169" s="9"/>
      <c r="I169" s="9"/>
      <c r="J169" s="11"/>
      <c r="K169" s="11"/>
      <c r="L169" s="9"/>
      <c r="M169" s="9"/>
      <c r="N169" s="9"/>
      <c r="O169" s="9"/>
      <c r="P169" s="11"/>
      <c r="Q169" s="11"/>
      <c r="R169" s="17" t="str">
        <f t="shared" si="5"/>
        <v>|||</v>
      </c>
    </row>
    <row r="170" spans="1:18" ht="18" customHeight="1" x14ac:dyDescent="0.25">
      <c r="A170" s="18">
        <v>167</v>
      </c>
      <c r="B170" s="10"/>
      <c r="C170" s="19"/>
      <c r="D170" s="9"/>
      <c r="E170" s="9"/>
      <c r="F170" s="11"/>
      <c r="G170" s="9"/>
      <c r="H170" s="9"/>
      <c r="I170" s="9"/>
      <c r="J170" s="11"/>
      <c r="K170" s="11"/>
      <c r="L170" s="9"/>
      <c r="M170" s="9"/>
      <c r="N170" s="9"/>
      <c r="O170" s="9"/>
      <c r="P170" s="11"/>
      <c r="Q170" s="11"/>
      <c r="R170" s="17" t="str">
        <f t="shared" si="5"/>
        <v>|||</v>
      </c>
    </row>
    <row r="171" spans="1:18" ht="18" customHeight="1" x14ac:dyDescent="0.25">
      <c r="A171" s="18">
        <v>168</v>
      </c>
      <c r="B171" s="10"/>
      <c r="C171" s="19"/>
      <c r="D171" s="9"/>
      <c r="E171" s="9"/>
      <c r="F171" s="11"/>
      <c r="G171" s="9"/>
      <c r="H171" s="9"/>
      <c r="I171" s="9"/>
      <c r="J171" s="11"/>
      <c r="K171" s="11"/>
      <c r="L171" s="9"/>
      <c r="M171" s="9"/>
      <c r="N171" s="9"/>
      <c r="O171" s="9"/>
      <c r="P171" s="11"/>
      <c r="Q171" s="11"/>
      <c r="R171" s="17" t="str">
        <f t="shared" si="5"/>
        <v>|||</v>
      </c>
    </row>
    <row r="172" spans="1:18" ht="18" customHeight="1" x14ac:dyDescent="0.25">
      <c r="A172" s="18">
        <v>169</v>
      </c>
      <c r="B172" s="10"/>
      <c r="C172" s="19"/>
      <c r="D172" s="9"/>
      <c r="E172" s="9"/>
      <c r="F172" s="11"/>
      <c r="G172" s="9"/>
      <c r="H172" s="9"/>
      <c r="I172" s="9"/>
      <c r="J172" s="11"/>
      <c r="K172" s="11"/>
      <c r="L172" s="9"/>
      <c r="M172" s="9"/>
      <c r="N172" s="9"/>
      <c r="O172" s="9"/>
      <c r="P172" s="11"/>
      <c r="Q172" s="11"/>
      <c r="R172" s="17" t="str">
        <f t="shared" si="5"/>
        <v>|||</v>
      </c>
    </row>
    <row r="173" spans="1:18" ht="18" customHeight="1" x14ac:dyDescent="0.25">
      <c r="A173" s="18">
        <v>170</v>
      </c>
      <c r="B173" s="10"/>
      <c r="C173" s="19"/>
      <c r="D173" s="9"/>
      <c r="E173" s="9"/>
      <c r="F173" s="11"/>
      <c r="G173" s="9"/>
      <c r="H173" s="9"/>
      <c r="I173" s="9"/>
      <c r="J173" s="11"/>
      <c r="K173" s="11"/>
      <c r="L173" s="9"/>
      <c r="M173" s="9"/>
      <c r="N173" s="9"/>
      <c r="O173" s="9"/>
      <c r="P173" s="11"/>
      <c r="Q173" s="11"/>
      <c r="R173" s="17" t="str">
        <f t="shared" si="5"/>
        <v>|||</v>
      </c>
    </row>
  </sheetData>
  <mergeCells count="1">
    <mergeCell ref="A1:Q1"/>
  </mergeCells>
  <dataValidations count="5">
    <dataValidation type="list" allowBlank="1" sqref="D4:D173" xr:uid="{00000000-0002-0000-0300-000000000000}">
      <formula1>"1°,2°"</formula1>
      <formula2>0</formula2>
    </dataValidation>
    <dataValidation type="list" allowBlank="1" sqref="E4:E173" xr:uid="{00000000-0002-0000-0300-000001000000}">
      <formula1>"OpenCode,Claude Code"</formula1>
      <formula2>0</formula2>
    </dataValidation>
    <dataValidation type="list" allowBlank="1" sqref="H4:H173" xr:uid="{00000000-0002-0000-0300-000003000000}">
      <formula1>"1,2,3"</formula1>
      <formula2>0</formula2>
    </dataValidation>
    <dataValidation type="list" allowBlank="1" sqref="L4:M173" xr:uid="{00000000-0002-0000-0300-000004000000}">
      <formula1>"Pasa,Falla"</formula1>
      <formula2>0</formula2>
    </dataValidation>
    <dataValidation type="list" allowBlank="1" sqref="N4:N173" xr:uid="{00000000-0002-0000-0300-000005000000}">
      <formula1>"Sí,No"</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2000000}">
          <x14:formula1>
            <xm:f>Matriz_Casos_Prueba!$A$4:$A$17</xm:f>
          </x14:formula1>
          <x14:formula2>
            <xm:f>0</xm:f>
          </x14:formula2>
          <xm:sqref>G4:G173</xm:sqref>
        </x14:dataValidation>
        <x14:dataValidation type="list" allowBlank="1" xr:uid="{00000000-0002-0000-0300-000006000000}">
          <x14:formula1>
            <xm:f>Clasificacion_Tipos_Fallo!$B$4:$B$11</xm:f>
          </x14:formula1>
          <x14:formula2>
            <xm:f>0</xm:f>
          </x14:formula2>
          <xm:sqref>P4:P173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A1:I89"/>
  <sheetViews>
    <sheetView showGridLines="0" zoomScaleNormal="100" workbookViewId="0">
      <pane ySplit="3" topLeftCell="A6" activePane="bottomLeft" state="frozen"/>
      <selection pane="bottomLeft" activeCell="E28" sqref="E28"/>
    </sheetView>
  </sheetViews>
  <sheetFormatPr baseColWidth="10" defaultColWidth="8.7109375" defaultRowHeight="15" x14ac:dyDescent="0.25"/>
  <cols>
    <col min="1" max="1" width="7" customWidth="1"/>
    <col min="2" max="2" width="14" customWidth="1"/>
    <col min="3" max="3" width="11" customWidth="1"/>
    <col min="4" max="4" width="15" customWidth="1"/>
    <col min="5" max="5" width="16" customWidth="1"/>
    <col min="6" max="6" width="18" customWidth="1"/>
    <col min="7" max="9" width="16" customWidth="1"/>
  </cols>
  <sheetData>
    <row r="1" spans="1:9" ht="25.5" customHeight="1" x14ac:dyDescent="0.25">
      <c r="A1" s="32" t="s">
        <v>180</v>
      </c>
      <c r="B1" s="32"/>
      <c r="C1" s="32"/>
      <c r="D1" s="32"/>
      <c r="E1" s="32"/>
      <c r="F1" s="32"/>
      <c r="G1" s="32"/>
      <c r="H1" s="32"/>
      <c r="I1" s="32"/>
    </row>
    <row r="3" spans="1:9" ht="30" customHeight="1" x14ac:dyDescent="0.25">
      <c r="A3" s="7" t="s">
        <v>159</v>
      </c>
      <c r="B3" s="7" t="s">
        <v>157</v>
      </c>
      <c r="C3" s="7" t="s">
        <v>181</v>
      </c>
      <c r="D3" s="7" t="s">
        <v>182</v>
      </c>
      <c r="E3" s="7" t="s">
        <v>183</v>
      </c>
      <c r="F3" s="7" t="s">
        <v>184</v>
      </c>
      <c r="G3" s="7" t="s">
        <v>185</v>
      </c>
      <c r="H3" s="7" t="s">
        <v>186</v>
      </c>
      <c r="I3" s="7" t="s">
        <v>187</v>
      </c>
    </row>
    <row r="4" spans="1:9" ht="15.75" customHeight="1" x14ac:dyDescent="0.25">
      <c r="A4" s="20" t="s">
        <v>96</v>
      </c>
      <c r="B4" s="20" t="s">
        <v>173</v>
      </c>
      <c r="C4" s="20">
        <v>1</v>
      </c>
      <c r="D4" s="21">
        <f>COUNTIFS(Bitacora_Iteraciones!$G$4:$G$173,$A4,Bitacora_Iteraciones!$E$4:$E$173,$B4,Bitacora_Iteraciones!$H$4:$H$173,$C4)</f>
        <v>0</v>
      </c>
      <c r="E4" s="21" t="str">
        <f>IFERROR(IF(INDEX(Bitacora_Iteraciones!$L$4:$L$173,MATCH($A4&amp;"|"&amp;$B4&amp;"|"&amp;$C4&amp;"|"&amp;1,Bitacora_Iteraciones!$R$4:$R$173,0))="Pasa","Sí","No"),"")</f>
        <v/>
      </c>
      <c r="F4" s="21" t="str">
        <f>IFERROR(IF(INDEX(Bitacora_Iteraciones!$L$4:$L$173,MATCH($A4&amp;"|"&amp;$B4&amp;"|"&amp;$C4&amp;"|"&amp;_xlfn.MAXIFS(Bitacora_Iteraciones!$I$4:$I$173,Bitacora_Iteraciones!$G$4:$G$173,$A4,Bitacora_Iteraciones!$E$4:$E$173,$B4,Bitacora_Iteraciones!$H$4:$H$173,$C4),Bitacora_Iteraciones!$R$4:$R$173,0))="Pasa","Sí","No"),"")</f>
        <v/>
      </c>
      <c r="G4" s="21" t="str">
        <f>IF(COUNTIFS(Bitacora_Iteraciones!$G$4:$G$173,$A4,Bitacora_Iteraciones!$E$4:$E$173,$B4,Bitacora_Iteraciones!$H$4:$H$173,$C4,Bitacora_Iteraciones!$M$4:$M$173,"Falla")&gt;0,"Sí",IF(COUNTIFS(Bitacora_Iteraciones!$G$4:$G$173,$A4,Bitacora_Iteraciones!$E$4:$E$173,$B4,Bitacora_Iteraciones!$H$4:$H$173,$C4)=0,"","No"))</f>
        <v/>
      </c>
      <c r="H4" s="21" t="str">
        <f>IF(COUNTIFS(Bitacora_Iteraciones!$G$4:$G$173,$A4,Bitacora_Iteraciones!$E$4:$E$173,$B4,Bitacora_Iteraciones!$H$4:$H$173,$C4,Bitacora_Iteraciones!$N$4:$N$173,"Sí")&gt;0,"Sí",IF(COUNTIFS(Bitacora_Iteraciones!$G$4:$G$173,$A4,Bitacora_Iteraciones!$E$4:$E$173,$B4,Bitacora_Iteraciones!$H$4:$H$173,$C4)=0,"","No"))</f>
        <v/>
      </c>
      <c r="I4" s="21">
        <f>SUMIFS(Bitacora_Iteraciones!$O$4:$O$173,Bitacora_Iteraciones!$G$4:$G$173,$A4,Bitacora_Iteraciones!$E$4:$E$173,$B4,Bitacora_Iteraciones!$H$4:$H$173,$C4)</f>
        <v>0</v>
      </c>
    </row>
    <row r="5" spans="1:9" ht="15.75" customHeight="1" x14ac:dyDescent="0.25">
      <c r="A5" s="20" t="s">
        <v>96</v>
      </c>
      <c r="B5" s="20" t="s">
        <v>173</v>
      </c>
      <c r="C5" s="20">
        <v>2</v>
      </c>
      <c r="D5" s="21">
        <f>COUNTIFS(Bitacora_Iteraciones!$G$4:$G$173,$A5,Bitacora_Iteraciones!$E$4:$E$173,$B5,Bitacora_Iteraciones!$H$4:$H$173,$C5)</f>
        <v>0</v>
      </c>
      <c r="E5" s="21" t="str">
        <f>IFERROR(IF(INDEX(Bitacora_Iteraciones!$L$4:$L$173,MATCH($A5&amp;"|"&amp;$B5&amp;"|"&amp;$C5&amp;"|"&amp;1,Bitacora_Iteraciones!$R$4:$R$173,0))="Pasa","Sí","No"),"")</f>
        <v/>
      </c>
      <c r="F5" s="21" t="str">
        <f>IFERROR(IF(INDEX(Bitacora_Iteraciones!$L$4:$L$173,MATCH($A5&amp;"|"&amp;$B5&amp;"|"&amp;$C5&amp;"|"&amp;_xlfn.MAXIFS(Bitacora_Iteraciones!$I$4:$I$173,Bitacora_Iteraciones!$G$4:$G$173,$A5,Bitacora_Iteraciones!$E$4:$E$173,$B5,Bitacora_Iteraciones!$H$4:$H$173,$C5),Bitacora_Iteraciones!$R$4:$R$173,0))="Pasa","Sí","No"),"")</f>
        <v/>
      </c>
      <c r="G5" s="21" t="str">
        <f>IF(COUNTIFS(Bitacora_Iteraciones!$G$4:$G$173,$A5,Bitacora_Iteraciones!$E$4:$E$173,$B5,Bitacora_Iteraciones!$H$4:$H$173,$C5,Bitacora_Iteraciones!$M$4:$M$173,"Falla")&gt;0,"Sí",IF(COUNTIFS(Bitacora_Iteraciones!$G$4:$G$173,$A5,Bitacora_Iteraciones!$E$4:$E$173,$B5,Bitacora_Iteraciones!$H$4:$H$173,$C5)=0,"","No"))</f>
        <v/>
      </c>
      <c r="H5" s="21" t="str">
        <f>IF(COUNTIFS(Bitacora_Iteraciones!$G$4:$G$173,$A5,Bitacora_Iteraciones!$E$4:$E$173,$B5,Bitacora_Iteraciones!$H$4:$H$173,$C5,Bitacora_Iteraciones!$N$4:$N$173,"Sí")&gt;0,"Sí",IF(COUNTIFS(Bitacora_Iteraciones!$G$4:$G$173,$A5,Bitacora_Iteraciones!$E$4:$E$173,$B5,Bitacora_Iteraciones!$H$4:$H$173,$C5)=0,"","No"))</f>
        <v/>
      </c>
      <c r="I5" s="21">
        <f>SUMIFS(Bitacora_Iteraciones!$O$4:$O$173,Bitacora_Iteraciones!$G$4:$G$173,$A5,Bitacora_Iteraciones!$E$4:$E$173,$B5,Bitacora_Iteraciones!$H$4:$H$173,$C5)</f>
        <v>0</v>
      </c>
    </row>
    <row r="6" spans="1:9" ht="15.75" customHeight="1" x14ac:dyDescent="0.25">
      <c r="A6" s="20" t="s">
        <v>96</v>
      </c>
      <c r="B6" s="20" t="s">
        <v>173</v>
      </c>
      <c r="C6" s="20">
        <v>3</v>
      </c>
      <c r="D6" s="21">
        <f>COUNTIFS(Bitacora_Iteraciones!$G$4:$G$173,$A6,Bitacora_Iteraciones!$E$4:$E$173,$B6,Bitacora_Iteraciones!$H$4:$H$173,$C6)</f>
        <v>0</v>
      </c>
      <c r="E6" s="21" t="str">
        <f>IFERROR(IF(INDEX(Bitacora_Iteraciones!$L$4:$L$173,MATCH($A6&amp;"|"&amp;$B6&amp;"|"&amp;$C6&amp;"|"&amp;1,Bitacora_Iteraciones!$R$4:$R$173,0))="Pasa","Sí","No"),"")</f>
        <v/>
      </c>
      <c r="F6" s="21" t="str">
        <f>IFERROR(IF(INDEX(Bitacora_Iteraciones!$L$4:$L$173,MATCH($A6&amp;"|"&amp;$B6&amp;"|"&amp;$C6&amp;"|"&amp;_xlfn.MAXIFS(Bitacora_Iteraciones!$I$4:$I$173,Bitacora_Iteraciones!$G$4:$G$173,$A6,Bitacora_Iteraciones!$E$4:$E$173,$B6,Bitacora_Iteraciones!$H$4:$H$173,$C6),Bitacora_Iteraciones!$R$4:$R$173,0))="Pasa","Sí","No"),"")</f>
        <v/>
      </c>
      <c r="G6" s="21" t="str">
        <f>IF(COUNTIFS(Bitacora_Iteraciones!$G$4:$G$173,$A6,Bitacora_Iteraciones!$E$4:$E$173,$B6,Bitacora_Iteraciones!$H$4:$H$173,$C6,Bitacora_Iteraciones!$M$4:$M$173,"Falla")&gt;0,"Sí",IF(COUNTIFS(Bitacora_Iteraciones!$G$4:$G$173,$A6,Bitacora_Iteraciones!$E$4:$E$173,$B6,Bitacora_Iteraciones!$H$4:$H$173,$C6)=0,"","No"))</f>
        <v/>
      </c>
      <c r="H6" s="21" t="str">
        <f>IF(COUNTIFS(Bitacora_Iteraciones!$G$4:$G$173,$A6,Bitacora_Iteraciones!$E$4:$E$173,$B6,Bitacora_Iteraciones!$H$4:$H$173,$C6,Bitacora_Iteraciones!$N$4:$N$173,"Sí")&gt;0,"Sí",IF(COUNTIFS(Bitacora_Iteraciones!$G$4:$G$173,$A6,Bitacora_Iteraciones!$E$4:$E$173,$B6,Bitacora_Iteraciones!$H$4:$H$173,$C6)=0,"","No"))</f>
        <v/>
      </c>
      <c r="I6" s="21">
        <f>SUMIFS(Bitacora_Iteraciones!$O$4:$O$173,Bitacora_Iteraciones!$G$4:$G$173,$A6,Bitacora_Iteraciones!$E$4:$E$173,$B6,Bitacora_Iteraciones!$H$4:$H$173,$C6)</f>
        <v>0</v>
      </c>
    </row>
    <row r="7" spans="1:9" ht="15.75" customHeight="1" x14ac:dyDescent="0.25">
      <c r="A7" s="20" t="s">
        <v>96</v>
      </c>
      <c r="B7" s="20" t="s">
        <v>188</v>
      </c>
      <c r="C7" s="20">
        <v>1</v>
      </c>
      <c r="D7" s="21">
        <f>COUNTIFS(Bitacora_Iteraciones!$G$4:$G$173,$A7,Bitacora_Iteraciones!$E$4:$E$173,$B7,Bitacora_Iteraciones!$H$4:$H$173,$C7)</f>
        <v>0</v>
      </c>
      <c r="E7" s="21" t="str">
        <f>IFERROR(IF(INDEX(Bitacora_Iteraciones!$L$4:$L$173,MATCH($A7&amp;"|"&amp;$B7&amp;"|"&amp;$C7&amp;"|"&amp;1,Bitacora_Iteraciones!$R$4:$R$173,0))="Pasa","Sí","No"),"")</f>
        <v/>
      </c>
      <c r="F7" s="21" t="str">
        <f>IFERROR(IF(INDEX(Bitacora_Iteraciones!$L$4:$L$173,MATCH($A7&amp;"|"&amp;$B7&amp;"|"&amp;$C7&amp;"|"&amp;_xlfn.MAXIFS(Bitacora_Iteraciones!$I$4:$I$173,Bitacora_Iteraciones!$G$4:$G$173,$A7,Bitacora_Iteraciones!$E$4:$E$173,$B7,Bitacora_Iteraciones!$H$4:$H$173,$C7),Bitacora_Iteraciones!$R$4:$R$173,0))="Pasa","Sí","No"),"")</f>
        <v/>
      </c>
      <c r="G7" s="21" t="str">
        <f>IF(COUNTIFS(Bitacora_Iteraciones!$G$4:$G$173,$A7,Bitacora_Iteraciones!$E$4:$E$173,$B7,Bitacora_Iteraciones!$H$4:$H$173,$C7,Bitacora_Iteraciones!$M$4:$M$173,"Falla")&gt;0,"Sí",IF(COUNTIFS(Bitacora_Iteraciones!$G$4:$G$173,$A7,Bitacora_Iteraciones!$E$4:$E$173,$B7,Bitacora_Iteraciones!$H$4:$H$173,$C7)=0,"","No"))</f>
        <v/>
      </c>
      <c r="H7" s="21" t="str">
        <f>IF(COUNTIFS(Bitacora_Iteraciones!$G$4:$G$173,$A7,Bitacora_Iteraciones!$E$4:$E$173,$B7,Bitacora_Iteraciones!$H$4:$H$173,$C7,Bitacora_Iteraciones!$N$4:$N$173,"Sí")&gt;0,"Sí",IF(COUNTIFS(Bitacora_Iteraciones!$G$4:$G$173,$A7,Bitacora_Iteraciones!$E$4:$E$173,$B7,Bitacora_Iteraciones!$H$4:$H$173,$C7)=0,"","No"))</f>
        <v/>
      </c>
      <c r="I7" s="21">
        <f>SUMIFS(Bitacora_Iteraciones!$O$4:$O$173,Bitacora_Iteraciones!$G$4:$G$173,$A7,Bitacora_Iteraciones!$E$4:$E$173,$B7,Bitacora_Iteraciones!$H$4:$H$173,$C7)</f>
        <v>0</v>
      </c>
    </row>
    <row r="8" spans="1:9" ht="15.75" customHeight="1" x14ac:dyDescent="0.25">
      <c r="A8" s="20" t="s">
        <v>96</v>
      </c>
      <c r="B8" s="20" t="s">
        <v>188</v>
      </c>
      <c r="C8" s="20">
        <v>2</v>
      </c>
      <c r="D8" s="21">
        <f>COUNTIFS(Bitacora_Iteraciones!$G$4:$G$173,$A8,Bitacora_Iteraciones!$E$4:$E$173,$B8,Bitacora_Iteraciones!$H$4:$H$173,$C8)</f>
        <v>0</v>
      </c>
      <c r="E8" s="21" t="str">
        <f>IFERROR(IF(INDEX(Bitacora_Iteraciones!$L$4:$L$173,MATCH($A8&amp;"|"&amp;$B8&amp;"|"&amp;$C8&amp;"|"&amp;1,Bitacora_Iteraciones!$R$4:$R$173,0))="Pasa","Sí","No"),"")</f>
        <v/>
      </c>
      <c r="F8" s="21" t="str">
        <f>IFERROR(IF(INDEX(Bitacora_Iteraciones!$L$4:$L$173,MATCH($A8&amp;"|"&amp;$B8&amp;"|"&amp;$C8&amp;"|"&amp;_xlfn.MAXIFS(Bitacora_Iteraciones!$I$4:$I$173,Bitacora_Iteraciones!$G$4:$G$173,$A8,Bitacora_Iteraciones!$E$4:$E$173,$B8,Bitacora_Iteraciones!$H$4:$H$173,$C8),Bitacora_Iteraciones!$R$4:$R$173,0))="Pasa","Sí","No"),"")</f>
        <v/>
      </c>
      <c r="G8" s="21" t="str">
        <f>IF(COUNTIFS(Bitacora_Iteraciones!$G$4:$G$173,$A8,Bitacora_Iteraciones!$E$4:$E$173,$B8,Bitacora_Iteraciones!$H$4:$H$173,$C8,Bitacora_Iteraciones!$M$4:$M$173,"Falla")&gt;0,"Sí",IF(COUNTIFS(Bitacora_Iteraciones!$G$4:$G$173,$A8,Bitacora_Iteraciones!$E$4:$E$173,$B8,Bitacora_Iteraciones!$H$4:$H$173,$C8)=0,"","No"))</f>
        <v/>
      </c>
      <c r="H8" s="21" t="str">
        <f>IF(COUNTIFS(Bitacora_Iteraciones!$G$4:$G$173,$A8,Bitacora_Iteraciones!$E$4:$E$173,$B8,Bitacora_Iteraciones!$H$4:$H$173,$C8,Bitacora_Iteraciones!$N$4:$N$173,"Sí")&gt;0,"Sí",IF(COUNTIFS(Bitacora_Iteraciones!$G$4:$G$173,$A8,Bitacora_Iteraciones!$E$4:$E$173,$B8,Bitacora_Iteraciones!$H$4:$H$173,$C8)=0,"","No"))</f>
        <v/>
      </c>
      <c r="I8" s="21">
        <f>SUMIFS(Bitacora_Iteraciones!$O$4:$O$173,Bitacora_Iteraciones!$G$4:$G$173,$A8,Bitacora_Iteraciones!$E$4:$E$173,$B8,Bitacora_Iteraciones!$H$4:$H$173,$C8)</f>
        <v>0</v>
      </c>
    </row>
    <row r="9" spans="1:9" ht="15.75" customHeight="1" x14ac:dyDescent="0.25">
      <c r="A9" s="20" t="s">
        <v>96</v>
      </c>
      <c r="B9" s="20" t="s">
        <v>188</v>
      </c>
      <c r="C9" s="20">
        <v>3</v>
      </c>
      <c r="D9" s="21">
        <f>COUNTIFS(Bitacora_Iteraciones!$G$4:$G$173,$A9,Bitacora_Iteraciones!$E$4:$E$173,$B9,Bitacora_Iteraciones!$H$4:$H$173,$C9)</f>
        <v>0</v>
      </c>
      <c r="E9" s="21" t="str">
        <f>IFERROR(IF(INDEX(Bitacora_Iteraciones!$L$4:$L$173,MATCH($A9&amp;"|"&amp;$B9&amp;"|"&amp;$C9&amp;"|"&amp;1,Bitacora_Iteraciones!$R$4:$R$173,0))="Pasa","Sí","No"),"")</f>
        <v/>
      </c>
      <c r="F9" s="21" t="str">
        <f>IFERROR(IF(INDEX(Bitacora_Iteraciones!$L$4:$L$173,MATCH($A9&amp;"|"&amp;$B9&amp;"|"&amp;$C9&amp;"|"&amp;_xlfn.MAXIFS(Bitacora_Iteraciones!$I$4:$I$173,Bitacora_Iteraciones!$G$4:$G$173,$A9,Bitacora_Iteraciones!$E$4:$E$173,$B9,Bitacora_Iteraciones!$H$4:$H$173,$C9),Bitacora_Iteraciones!$R$4:$R$173,0))="Pasa","Sí","No"),"")</f>
        <v/>
      </c>
      <c r="G9" s="21" t="str">
        <f>IF(COUNTIFS(Bitacora_Iteraciones!$G$4:$G$173,$A9,Bitacora_Iteraciones!$E$4:$E$173,$B9,Bitacora_Iteraciones!$H$4:$H$173,$C9,Bitacora_Iteraciones!$M$4:$M$173,"Falla")&gt;0,"Sí",IF(COUNTIFS(Bitacora_Iteraciones!$G$4:$G$173,$A9,Bitacora_Iteraciones!$E$4:$E$173,$B9,Bitacora_Iteraciones!$H$4:$H$173,$C9)=0,"","No"))</f>
        <v/>
      </c>
      <c r="H9" s="21" t="str">
        <f>IF(COUNTIFS(Bitacora_Iteraciones!$G$4:$G$173,$A9,Bitacora_Iteraciones!$E$4:$E$173,$B9,Bitacora_Iteraciones!$H$4:$H$173,$C9,Bitacora_Iteraciones!$N$4:$N$173,"Sí")&gt;0,"Sí",IF(COUNTIFS(Bitacora_Iteraciones!$G$4:$G$173,$A9,Bitacora_Iteraciones!$E$4:$E$173,$B9,Bitacora_Iteraciones!$H$4:$H$173,$C9)=0,"","No"))</f>
        <v/>
      </c>
      <c r="I9" s="21">
        <f>SUMIFS(Bitacora_Iteraciones!$O$4:$O$173,Bitacora_Iteraciones!$G$4:$G$173,$A9,Bitacora_Iteraciones!$E$4:$E$173,$B9,Bitacora_Iteraciones!$H$4:$H$173,$C9)</f>
        <v>0</v>
      </c>
    </row>
    <row r="10" spans="1:9" ht="15.75" customHeight="1" x14ac:dyDescent="0.25">
      <c r="A10" s="20" t="s">
        <v>101</v>
      </c>
      <c r="B10" s="20" t="s">
        <v>173</v>
      </c>
      <c r="C10" s="20">
        <v>1</v>
      </c>
      <c r="D10" s="21">
        <f>COUNTIFS(Bitacora_Iteraciones!$G$4:$G$173,$A10,Bitacora_Iteraciones!$E$4:$E$173,$B10,Bitacora_Iteraciones!$H$4:$H$173,$C10)</f>
        <v>0</v>
      </c>
      <c r="E10" s="21" t="str">
        <f>IFERROR(IF(INDEX(Bitacora_Iteraciones!$L$4:$L$173,MATCH($A10&amp;"|"&amp;$B10&amp;"|"&amp;$C10&amp;"|"&amp;1,Bitacora_Iteraciones!$R$4:$R$173,0))="Pasa","Sí","No"),"")</f>
        <v/>
      </c>
      <c r="F10" s="21" t="str">
        <f>IFERROR(IF(INDEX(Bitacora_Iteraciones!$L$4:$L$173,MATCH($A10&amp;"|"&amp;$B10&amp;"|"&amp;$C10&amp;"|"&amp;_xlfn.MAXIFS(Bitacora_Iteraciones!$I$4:$I$173,Bitacora_Iteraciones!$G$4:$G$173,$A10,Bitacora_Iteraciones!$E$4:$E$173,$B10,Bitacora_Iteraciones!$H$4:$H$173,$C10),Bitacora_Iteraciones!$R$4:$R$173,0))="Pasa","Sí","No"),"")</f>
        <v/>
      </c>
      <c r="G10" s="21" t="str">
        <f>IF(COUNTIFS(Bitacora_Iteraciones!$G$4:$G$173,$A10,Bitacora_Iteraciones!$E$4:$E$173,$B10,Bitacora_Iteraciones!$H$4:$H$173,$C10,Bitacora_Iteraciones!$M$4:$M$173,"Falla")&gt;0,"Sí",IF(COUNTIFS(Bitacora_Iteraciones!$G$4:$G$173,$A10,Bitacora_Iteraciones!$E$4:$E$173,$B10,Bitacora_Iteraciones!$H$4:$H$173,$C10)=0,"","No"))</f>
        <v/>
      </c>
      <c r="H10" s="21" t="str">
        <f>IF(COUNTIFS(Bitacora_Iteraciones!$G$4:$G$173,$A10,Bitacora_Iteraciones!$E$4:$E$173,$B10,Bitacora_Iteraciones!$H$4:$H$173,$C10,Bitacora_Iteraciones!$N$4:$N$173,"Sí")&gt;0,"Sí",IF(COUNTIFS(Bitacora_Iteraciones!$G$4:$G$173,$A10,Bitacora_Iteraciones!$E$4:$E$173,$B10,Bitacora_Iteraciones!$H$4:$H$173,$C10)=0,"","No"))</f>
        <v/>
      </c>
      <c r="I10" s="21">
        <f>SUMIFS(Bitacora_Iteraciones!$O$4:$O$173,Bitacora_Iteraciones!$G$4:$G$173,$A10,Bitacora_Iteraciones!$E$4:$E$173,$B10,Bitacora_Iteraciones!$H$4:$H$173,$C10)</f>
        <v>0</v>
      </c>
    </row>
    <row r="11" spans="1:9" ht="15.75" customHeight="1" x14ac:dyDescent="0.25">
      <c r="A11" s="20" t="s">
        <v>101</v>
      </c>
      <c r="B11" s="20" t="s">
        <v>173</v>
      </c>
      <c r="C11" s="20">
        <v>2</v>
      </c>
      <c r="D11" s="21">
        <f>COUNTIFS(Bitacora_Iteraciones!$G$4:$G$173,$A11,Bitacora_Iteraciones!$E$4:$E$173,$B11,Bitacora_Iteraciones!$H$4:$H$173,$C11)</f>
        <v>0</v>
      </c>
      <c r="E11" s="21" t="str">
        <f>IFERROR(IF(INDEX(Bitacora_Iteraciones!$L$4:$L$173,MATCH($A11&amp;"|"&amp;$B11&amp;"|"&amp;$C11&amp;"|"&amp;1,Bitacora_Iteraciones!$R$4:$R$173,0))="Pasa","Sí","No"),"")</f>
        <v/>
      </c>
      <c r="F11" s="21" t="str">
        <f>IFERROR(IF(INDEX(Bitacora_Iteraciones!$L$4:$L$173,MATCH($A11&amp;"|"&amp;$B11&amp;"|"&amp;$C11&amp;"|"&amp;_xlfn.MAXIFS(Bitacora_Iteraciones!$I$4:$I$173,Bitacora_Iteraciones!$G$4:$G$173,$A11,Bitacora_Iteraciones!$E$4:$E$173,$B11,Bitacora_Iteraciones!$H$4:$H$173,$C11),Bitacora_Iteraciones!$R$4:$R$173,0))="Pasa","Sí","No"),"")</f>
        <v/>
      </c>
      <c r="G11" s="21" t="str">
        <f>IF(COUNTIFS(Bitacora_Iteraciones!$G$4:$G$173,$A11,Bitacora_Iteraciones!$E$4:$E$173,$B11,Bitacora_Iteraciones!$H$4:$H$173,$C11,Bitacora_Iteraciones!$M$4:$M$173,"Falla")&gt;0,"Sí",IF(COUNTIFS(Bitacora_Iteraciones!$G$4:$G$173,$A11,Bitacora_Iteraciones!$E$4:$E$173,$B11,Bitacora_Iteraciones!$H$4:$H$173,$C11)=0,"","No"))</f>
        <v/>
      </c>
      <c r="H11" s="21" t="str">
        <f>IF(COUNTIFS(Bitacora_Iteraciones!$G$4:$G$173,$A11,Bitacora_Iteraciones!$E$4:$E$173,$B11,Bitacora_Iteraciones!$H$4:$H$173,$C11,Bitacora_Iteraciones!$N$4:$N$173,"Sí")&gt;0,"Sí",IF(COUNTIFS(Bitacora_Iteraciones!$G$4:$G$173,$A11,Bitacora_Iteraciones!$E$4:$E$173,$B11,Bitacora_Iteraciones!$H$4:$H$173,$C11)=0,"","No"))</f>
        <v/>
      </c>
      <c r="I11" s="21">
        <f>SUMIFS(Bitacora_Iteraciones!$O$4:$O$173,Bitacora_Iteraciones!$G$4:$G$173,$A11,Bitacora_Iteraciones!$E$4:$E$173,$B11,Bitacora_Iteraciones!$H$4:$H$173,$C11)</f>
        <v>0</v>
      </c>
    </row>
    <row r="12" spans="1:9" ht="15.75" customHeight="1" x14ac:dyDescent="0.25">
      <c r="A12" s="20" t="s">
        <v>101</v>
      </c>
      <c r="B12" s="20" t="s">
        <v>173</v>
      </c>
      <c r="C12" s="20">
        <v>3</v>
      </c>
      <c r="D12" s="21">
        <f>COUNTIFS(Bitacora_Iteraciones!$G$4:$G$173,$A12,Bitacora_Iteraciones!$E$4:$E$173,$B12,Bitacora_Iteraciones!$H$4:$H$173,$C12)</f>
        <v>0</v>
      </c>
      <c r="E12" s="21" t="str">
        <f>IFERROR(IF(INDEX(Bitacora_Iteraciones!$L$4:$L$173,MATCH($A12&amp;"|"&amp;$B12&amp;"|"&amp;$C12&amp;"|"&amp;1,Bitacora_Iteraciones!$R$4:$R$173,0))="Pasa","Sí","No"),"")</f>
        <v/>
      </c>
      <c r="F12" s="21" t="str">
        <f>IFERROR(IF(INDEX(Bitacora_Iteraciones!$L$4:$L$173,MATCH($A12&amp;"|"&amp;$B12&amp;"|"&amp;$C12&amp;"|"&amp;_xlfn.MAXIFS(Bitacora_Iteraciones!$I$4:$I$173,Bitacora_Iteraciones!$G$4:$G$173,$A12,Bitacora_Iteraciones!$E$4:$E$173,$B12,Bitacora_Iteraciones!$H$4:$H$173,$C12),Bitacora_Iteraciones!$R$4:$R$173,0))="Pasa","Sí","No"),"")</f>
        <v/>
      </c>
      <c r="G12" s="21" t="str">
        <f>IF(COUNTIFS(Bitacora_Iteraciones!$G$4:$G$173,$A12,Bitacora_Iteraciones!$E$4:$E$173,$B12,Bitacora_Iteraciones!$H$4:$H$173,$C12,Bitacora_Iteraciones!$M$4:$M$173,"Falla")&gt;0,"Sí",IF(COUNTIFS(Bitacora_Iteraciones!$G$4:$G$173,$A12,Bitacora_Iteraciones!$E$4:$E$173,$B12,Bitacora_Iteraciones!$H$4:$H$173,$C12)=0,"","No"))</f>
        <v/>
      </c>
      <c r="H12" s="21" t="str">
        <f>IF(COUNTIFS(Bitacora_Iteraciones!$G$4:$G$173,$A12,Bitacora_Iteraciones!$E$4:$E$173,$B12,Bitacora_Iteraciones!$H$4:$H$173,$C12,Bitacora_Iteraciones!$N$4:$N$173,"Sí")&gt;0,"Sí",IF(COUNTIFS(Bitacora_Iteraciones!$G$4:$G$173,$A12,Bitacora_Iteraciones!$E$4:$E$173,$B12,Bitacora_Iteraciones!$H$4:$H$173,$C12)=0,"","No"))</f>
        <v/>
      </c>
      <c r="I12" s="21">
        <f>SUMIFS(Bitacora_Iteraciones!$O$4:$O$173,Bitacora_Iteraciones!$G$4:$G$173,$A12,Bitacora_Iteraciones!$E$4:$E$173,$B12,Bitacora_Iteraciones!$H$4:$H$173,$C12)</f>
        <v>0</v>
      </c>
    </row>
    <row r="13" spans="1:9" ht="15.75" customHeight="1" x14ac:dyDescent="0.25">
      <c r="A13" s="20" t="s">
        <v>101</v>
      </c>
      <c r="B13" s="20" t="s">
        <v>188</v>
      </c>
      <c r="C13" s="20">
        <v>1</v>
      </c>
      <c r="D13" s="21">
        <f>COUNTIFS(Bitacora_Iteraciones!$G$4:$G$173,$A13,Bitacora_Iteraciones!$E$4:$E$173,$B13,Bitacora_Iteraciones!$H$4:$H$173,$C13)</f>
        <v>0</v>
      </c>
      <c r="E13" s="21" t="str">
        <f>IFERROR(IF(INDEX(Bitacora_Iteraciones!$L$4:$L$173,MATCH($A13&amp;"|"&amp;$B13&amp;"|"&amp;$C13&amp;"|"&amp;1,Bitacora_Iteraciones!$R$4:$R$173,0))="Pasa","Sí","No"),"")</f>
        <v/>
      </c>
      <c r="F13" s="21" t="str">
        <f>IFERROR(IF(INDEX(Bitacora_Iteraciones!$L$4:$L$173,MATCH($A13&amp;"|"&amp;$B13&amp;"|"&amp;$C13&amp;"|"&amp;_xlfn.MAXIFS(Bitacora_Iteraciones!$I$4:$I$173,Bitacora_Iteraciones!$G$4:$G$173,$A13,Bitacora_Iteraciones!$E$4:$E$173,$B13,Bitacora_Iteraciones!$H$4:$H$173,$C13),Bitacora_Iteraciones!$R$4:$R$173,0))="Pasa","Sí","No"),"")</f>
        <v/>
      </c>
      <c r="G13" s="21" t="str">
        <f>IF(COUNTIFS(Bitacora_Iteraciones!$G$4:$G$173,$A13,Bitacora_Iteraciones!$E$4:$E$173,$B13,Bitacora_Iteraciones!$H$4:$H$173,$C13,Bitacora_Iteraciones!$M$4:$M$173,"Falla")&gt;0,"Sí",IF(COUNTIFS(Bitacora_Iteraciones!$G$4:$G$173,$A13,Bitacora_Iteraciones!$E$4:$E$173,$B13,Bitacora_Iteraciones!$H$4:$H$173,$C13)=0,"","No"))</f>
        <v/>
      </c>
      <c r="H13" s="21" t="str">
        <f>IF(COUNTIFS(Bitacora_Iteraciones!$G$4:$G$173,$A13,Bitacora_Iteraciones!$E$4:$E$173,$B13,Bitacora_Iteraciones!$H$4:$H$173,$C13,Bitacora_Iteraciones!$N$4:$N$173,"Sí")&gt;0,"Sí",IF(COUNTIFS(Bitacora_Iteraciones!$G$4:$G$173,$A13,Bitacora_Iteraciones!$E$4:$E$173,$B13,Bitacora_Iteraciones!$H$4:$H$173,$C13)=0,"","No"))</f>
        <v/>
      </c>
      <c r="I13" s="21">
        <f>SUMIFS(Bitacora_Iteraciones!$O$4:$O$173,Bitacora_Iteraciones!$G$4:$G$173,$A13,Bitacora_Iteraciones!$E$4:$E$173,$B13,Bitacora_Iteraciones!$H$4:$H$173,$C13)</f>
        <v>0</v>
      </c>
    </row>
    <row r="14" spans="1:9" ht="15.75" customHeight="1" x14ac:dyDescent="0.25">
      <c r="A14" s="20" t="s">
        <v>101</v>
      </c>
      <c r="B14" s="20" t="s">
        <v>188</v>
      </c>
      <c r="C14" s="20">
        <v>2</v>
      </c>
      <c r="D14" s="21">
        <f>COUNTIFS(Bitacora_Iteraciones!$G$4:$G$173,$A14,Bitacora_Iteraciones!$E$4:$E$173,$B14,Bitacora_Iteraciones!$H$4:$H$173,$C14)</f>
        <v>0</v>
      </c>
      <c r="E14" s="21" t="str">
        <f>IFERROR(IF(INDEX(Bitacora_Iteraciones!$L$4:$L$173,MATCH($A14&amp;"|"&amp;$B14&amp;"|"&amp;$C14&amp;"|"&amp;1,Bitacora_Iteraciones!$R$4:$R$173,0))="Pasa","Sí","No"),"")</f>
        <v/>
      </c>
      <c r="F14" s="21" t="str">
        <f>IFERROR(IF(INDEX(Bitacora_Iteraciones!$L$4:$L$173,MATCH($A14&amp;"|"&amp;$B14&amp;"|"&amp;$C14&amp;"|"&amp;_xlfn.MAXIFS(Bitacora_Iteraciones!$I$4:$I$173,Bitacora_Iteraciones!$G$4:$G$173,$A14,Bitacora_Iteraciones!$E$4:$E$173,$B14,Bitacora_Iteraciones!$H$4:$H$173,$C14),Bitacora_Iteraciones!$R$4:$R$173,0))="Pasa","Sí","No"),"")</f>
        <v/>
      </c>
      <c r="G14" s="21" t="str">
        <f>IF(COUNTIFS(Bitacora_Iteraciones!$G$4:$G$173,$A14,Bitacora_Iteraciones!$E$4:$E$173,$B14,Bitacora_Iteraciones!$H$4:$H$173,$C14,Bitacora_Iteraciones!$M$4:$M$173,"Falla")&gt;0,"Sí",IF(COUNTIFS(Bitacora_Iteraciones!$G$4:$G$173,$A14,Bitacora_Iteraciones!$E$4:$E$173,$B14,Bitacora_Iteraciones!$H$4:$H$173,$C14)=0,"","No"))</f>
        <v/>
      </c>
      <c r="H14" s="21" t="str">
        <f>IF(COUNTIFS(Bitacora_Iteraciones!$G$4:$G$173,$A14,Bitacora_Iteraciones!$E$4:$E$173,$B14,Bitacora_Iteraciones!$H$4:$H$173,$C14,Bitacora_Iteraciones!$N$4:$N$173,"Sí")&gt;0,"Sí",IF(COUNTIFS(Bitacora_Iteraciones!$G$4:$G$173,$A14,Bitacora_Iteraciones!$E$4:$E$173,$B14,Bitacora_Iteraciones!$H$4:$H$173,$C14)=0,"","No"))</f>
        <v/>
      </c>
      <c r="I14" s="21">
        <f>SUMIFS(Bitacora_Iteraciones!$O$4:$O$173,Bitacora_Iteraciones!$G$4:$G$173,$A14,Bitacora_Iteraciones!$E$4:$E$173,$B14,Bitacora_Iteraciones!$H$4:$H$173,$C14)</f>
        <v>0</v>
      </c>
    </row>
    <row r="15" spans="1:9" ht="15.75" customHeight="1" x14ac:dyDescent="0.25">
      <c r="A15" s="20" t="s">
        <v>101</v>
      </c>
      <c r="B15" s="20" t="s">
        <v>188</v>
      </c>
      <c r="C15" s="20">
        <v>3</v>
      </c>
      <c r="D15" s="21">
        <f>COUNTIFS(Bitacora_Iteraciones!$G$4:$G$173,$A15,Bitacora_Iteraciones!$E$4:$E$173,$B15,Bitacora_Iteraciones!$H$4:$H$173,$C15)</f>
        <v>0</v>
      </c>
      <c r="E15" s="21" t="str">
        <f>IFERROR(IF(INDEX(Bitacora_Iteraciones!$L$4:$L$173,MATCH($A15&amp;"|"&amp;$B15&amp;"|"&amp;$C15&amp;"|"&amp;1,Bitacora_Iteraciones!$R$4:$R$173,0))="Pasa","Sí","No"),"")</f>
        <v/>
      </c>
      <c r="F15" s="21" t="str">
        <f>IFERROR(IF(INDEX(Bitacora_Iteraciones!$L$4:$L$173,MATCH($A15&amp;"|"&amp;$B15&amp;"|"&amp;$C15&amp;"|"&amp;_xlfn.MAXIFS(Bitacora_Iteraciones!$I$4:$I$173,Bitacora_Iteraciones!$G$4:$G$173,$A15,Bitacora_Iteraciones!$E$4:$E$173,$B15,Bitacora_Iteraciones!$H$4:$H$173,$C15),Bitacora_Iteraciones!$R$4:$R$173,0))="Pasa","Sí","No"),"")</f>
        <v/>
      </c>
      <c r="G15" s="21" t="str">
        <f>IF(COUNTIFS(Bitacora_Iteraciones!$G$4:$G$173,$A15,Bitacora_Iteraciones!$E$4:$E$173,$B15,Bitacora_Iteraciones!$H$4:$H$173,$C15,Bitacora_Iteraciones!$M$4:$M$173,"Falla")&gt;0,"Sí",IF(COUNTIFS(Bitacora_Iteraciones!$G$4:$G$173,$A15,Bitacora_Iteraciones!$E$4:$E$173,$B15,Bitacora_Iteraciones!$H$4:$H$173,$C15)=0,"","No"))</f>
        <v/>
      </c>
      <c r="H15" s="21" t="str">
        <f>IF(COUNTIFS(Bitacora_Iteraciones!$G$4:$G$173,$A15,Bitacora_Iteraciones!$E$4:$E$173,$B15,Bitacora_Iteraciones!$H$4:$H$173,$C15,Bitacora_Iteraciones!$N$4:$N$173,"Sí")&gt;0,"Sí",IF(COUNTIFS(Bitacora_Iteraciones!$G$4:$G$173,$A15,Bitacora_Iteraciones!$E$4:$E$173,$B15,Bitacora_Iteraciones!$H$4:$H$173,$C15)=0,"","No"))</f>
        <v/>
      </c>
      <c r="I15" s="21">
        <f>SUMIFS(Bitacora_Iteraciones!$O$4:$O$173,Bitacora_Iteraciones!$G$4:$G$173,$A15,Bitacora_Iteraciones!$E$4:$E$173,$B15,Bitacora_Iteraciones!$H$4:$H$173,$C15)</f>
        <v>0</v>
      </c>
    </row>
    <row r="16" spans="1:9" ht="15.75" customHeight="1" x14ac:dyDescent="0.25">
      <c r="A16" s="20" t="s">
        <v>105</v>
      </c>
      <c r="B16" s="20" t="s">
        <v>173</v>
      </c>
      <c r="C16" s="20">
        <v>1</v>
      </c>
      <c r="D16" s="21">
        <f>COUNTIFS(Bitacora_Iteraciones!$G$4:$G$173,$A16,Bitacora_Iteraciones!$E$4:$E$173,$B16,Bitacora_Iteraciones!$H$4:$H$173,$C16)</f>
        <v>0</v>
      </c>
      <c r="E16" s="21" t="str">
        <f>IFERROR(IF(INDEX(Bitacora_Iteraciones!$L$4:$L$173,MATCH($A16&amp;"|"&amp;$B16&amp;"|"&amp;$C16&amp;"|"&amp;1,Bitacora_Iteraciones!$R$4:$R$173,0))="Pasa","Sí","No"),"")</f>
        <v/>
      </c>
      <c r="F16" s="21" t="str">
        <f>IFERROR(IF(INDEX(Bitacora_Iteraciones!$L$4:$L$173,MATCH($A16&amp;"|"&amp;$B16&amp;"|"&amp;$C16&amp;"|"&amp;_xlfn.MAXIFS(Bitacora_Iteraciones!$I$4:$I$173,Bitacora_Iteraciones!$G$4:$G$173,$A16,Bitacora_Iteraciones!$E$4:$E$173,$B16,Bitacora_Iteraciones!$H$4:$H$173,$C16),Bitacora_Iteraciones!$R$4:$R$173,0))="Pasa","Sí","No"),"")</f>
        <v/>
      </c>
      <c r="G16" s="21" t="str">
        <f>IF(COUNTIFS(Bitacora_Iteraciones!$G$4:$G$173,$A16,Bitacora_Iteraciones!$E$4:$E$173,$B16,Bitacora_Iteraciones!$H$4:$H$173,$C16,Bitacora_Iteraciones!$M$4:$M$173,"Falla")&gt;0,"Sí",IF(COUNTIFS(Bitacora_Iteraciones!$G$4:$G$173,$A16,Bitacora_Iteraciones!$E$4:$E$173,$B16,Bitacora_Iteraciones!$H$4:$H$173,$C16)=0,"","No"))</f>
        <v/>
      </c>
      <c r="H16" s="21" t="str">
        <f>IF(COUNTIFS(Bitacora_Iteraciones!$G$4:$G$173,$A16,Bitacora_Iteraciones!$E$4:$E$173,$B16,Bitacora_Iteraciones!$H$4:$H$173,$C16,Bitacora_Iteraciones!$N$4:$N$173,"Sí")&gt;0,"Sí",IF(COUNTIFS(Bitacora_Iteraciones!$G$4:$G$173,$A16,Bitacora_Iteraciones!$E$4:$E$173,$B16,Bitacora_Iteraciones!$H$4:$H$173,$C16)=0,"","No"))</f>
        <v/>
      </c>
      <c r="I16" s="21">
        <f>SUMIFS(Bitacora_Iteraciones!$O$4:$O$173,Bitacora_Iteraciones!$G$4:$G$173,$A16,Bitacora_Iteraciones!$E$4:$E$173,$B16,Bitacora_Iteraciones!$H$4:$H$173,$C16)</f>
        <v>0</v>
      </c>
    </row>
    <row r="17" spans="1:9" ht="15.75" customHeight="1" x14ac:dyDescent="0.25">
      <c r="A17" s="20" t="s">
        <v>105</v>
      </c>
      <c r="B17" s="20" t="s">
        <v>173</v>
      </c>
      <c r="C17" s="20">
        <v>2</v>
      </c>
      <c r="D17" s="21">
        <f>COUNTIFS(Bitacora_Iteraciones!$G$4:$G$173,$A17,Bitacora_Iteraciones!$E$4:$E$173,$B17,Bitacora_Iteraciones!$H$4:$H$173,$C17)</f>
        <v>0</v>
      </c>
      <c r="E17" s="21" t="str">
        <f>IFERROR(IF(INDEX(Bitacora_Iteraciones!$L$4:$L$173,MATCH($A17&amp;"|"&amp;$B17&amp;"|"&amp;$C17&amp;"|"&amp;1,Bitacora_Iteraciones!$R$4:$R$173,0))="Pasa","Sí","No"),"")</f>
        <v/>
      </c>
      <c r="F17" s="21" t="str">
        <f>IFERROR(IF(INDEX(Bitacora_Iteraciones!$L$4:$L$173,MATCH($A17&amp;"|"&amp;$B17&amp;"|"&amp;$C17&amp;"|"&amp;_xlfn.MAXIFS(Bitacora_Iteraciones!$I$4:$I$173,Bitacora_Iteraciones!$G$4:$G$173,$A17,Bitacora_Iteraciones!$E$4:$E$173,$B17,Bitacora_Iteraciones!$H$4:$H$173,$C17),Bitacora_Iteraciones!$R$4:$R$173,0))="Pasa","Sí","No"),"")</f>
        <v/>
      </c>
      <c r="G17" s="21" t="str">
        <f>IF(COUNTIFS(Bitacora_Iteraciones!$G$4:$G$173,$A17,Bitacora_Iteraciones!$E$4:$E$173,$B17,Bitacora_Iteraciones!$H$4:$H$173,$C17,Bitacora_Iteraciones!$M$4:$M$173,"Falla")&gt;0,"Sí",IF(COUNTIFS(Bitacora_Iteraciones!$G$4:$G$173,$A17,Bitacora_Iteraciones!$E$4:$E$173,$B17,Bitacora_Iteraciones!$H$4:$H$173,$C17)=0,"","No"))</f>
        <v/>
      </c>
      <c r="H17" s="21" t="str">
        <f>IF(COUNTIFS(Bitacora_Iteraciones!$G$4:$G$173,$A17,Bitacora_Iteraciones!$E$4:$E$173,$B17,Bitacora_Iteraciones!$H$4:$H$173,$C17,Bitacora_Iteraciones!$N$4:$N$173,"Sí")&gt;0,"Sí",IF(COUNTIFS(Bitacora_Iteraciones!$G$4:$G$173,$A17,Bitacora_Iteraciones!$E$4:$E$173,$B17,Bitacora_Iteraciones!$H$4:$H$173,$C17)=0,"","No"))</f>
        <v/>
      </c>
      <c r="I17" s="21">
        <f>SUMIFS(Bitacora_Iteraciones!$O$4:$O$173,Bitacora_Iteraciones!$G$4:$G$173,$A17,Bitacora_Iteraciones!$E$4:$E$173,$B17,Bitacora_Iteraciones!$H$4:$H$173,$C17)</f>
        <v>0</v>
      </c>
    </row>
    <row r="18" spans="1:9" ht="15.75" customHeight="1" x14ac:dyDescent="0.25">
      <c r="A18" s="20" t="s">
        <v>105</v>
      </c>
      <c r="B18" s="20" t="s">
        <v>173</v>
      </c>
      <c r="C18" s="20">
        <v>3</v>
      </c>
      <c r="D18" s="21">
        <f>COUNTIFS(Bitacora_Iteraciones!$G$4:$G$173,$A18,Bitacora_Iteraciones!$E$4:$E$173,$B18,Bitacora_Iteraciones!$H$4:$H$173,$C18)</f>
        <v>0</v>
      </c>
      <c r="E18" s="21" t="str">
        <f>IFERROR(IF(INDEX(Bitacora_Iteraciones!$L$4:$L$173,MATCH($A18&amp;"|"&amp;$B18&amp;"|"&amp;$C18&amp;"|"&amp;1,Bitacora_Iteraciones!$R$4:$R$173,0))="Pasa","Sí","No"),"")</f>
        <v/>
      </c>
      <c r="F18" s="21" t="str">
        <f>IFERROR(IF(INDEX(Bitacora_Iteraciones!$L$4:$L$173,MATCH($A18&amp;"|"&amp;$B18&amp;"|"&amp;$C18&amp;"|"&amp;_xlfn.MAXIFS(Bitacora_Iteraciones!$I$4:$I$173,Bitacora_Iteraciones!$G$4:$G$173,$A18,Bitacora_Iteraciones!$E$4:$E$173,$B18,Bitacora_Iteraciones!$H$4:$H$173,$C18),Bitacora_Iteraciones!$R$4:$R$173,0))="Pasa","Sí","No"),"")</f>
        <v/>
      </c>
      <c r="G18" s="21" t="str">
        <f>IF(COUNTIFS(Bitacora_Iteraciones!$G$4:$G$173,$A18,Bitacora_Iteraciones!$E$4:$E$173,$B18,Bitacora_Iteraciones!$H$4:$H$173,$C18,Bitacora_Iteraciones!$M$4:$M$173,"Falla")&gt;0,"Sí",IF(COUNTIFS(Bitacora_Iteraciones!$G$4:$G$173,$A18,Bitacora_Iteraciones!$E$4:$E$173,$B18,Bitacora_Iteraciones!$H$4:$H$173,$C18)=0,"","No"))</f>
        <v/>
      </c>
      <c r="H18" s="21" t="str">
        <f>IF(COUNTIFS(Bitacora_Iteraciones!$G$4:$G$173,$A18,Bitacora_Iteraciones!$E$4:$E$173,$B18,Bitacora_Iteraciones!$H$4:$H$173,$C18,Bitacora_Iteraciones!$N$4:$N$173,"Sí")&gt;0,"Sí",IF(COUNTIFS(Bitacora_Iteraciones!$G$4:$G$173,$A18,Bitacora_Iteraciones!$E$4:$E$173,$B18,Bitacora_Iteraciones!$H$4:$H$173,$C18)=0,"","No"))</f>
        <v/>
      </c>
      <c r="I18" s="21">
        <f>SUMIFS(Bitacora_Iteraciones!$O$4:$O$173,Bitacora_Iteraciones!$G$4:$G$173,$A18,Bitacora_Iteraciones!$E$4:$E$173,$B18,Bitacora_Iteraciones!$H$4:$H$173,$C18)</f>
        <v>0</v>
      </c>
    </row>
    <row r="19" spans="1:9" ht="15.75" customHeight="1" x14ac:dyDescent="0.25">
      <c r="A19" s="20" t="s">
        <v>105</v>
      </c>
      <c r="B19" s="20" t="s">
        <v>188</v>
      </c>
      <c r="C19" s="20">
        <v>1</v>
      </c>
      <c r="D19" s="21">
        <f>COUNTIFS(Bitacora_Iteraciones!$G$4:$G$173,$A19,Bitacora_Iteraciones!$E$4:$E$173,$B19,Bitacora_Iteraciones!$H$4:$H$173,$C19)</f>
        <v>0</v>
      </c>
      <c r="E19" s="21" t="str">
        <f>IFERROR(IF(INDEX(Bitacora_Iteraciones!$L$4:$L$173,MATCH($A19&amp;"|"&amp;$B19&amp;"|"&amp;$C19&amp;"|"&amp;1,Bitacora_Iteraciones!$R$4:$R$173,0))="Pasa","Sí","No"),"")</f>
        <v/>
      </c>
      <c r="F19" s="21" t="str">
        <f>IFERROR(IF(INDEX(Bitacora_Iteraciones!$L$4:$L$173,MATCH($A19&amp;"|"&amp;$B19&amp;"|"&amp;$C19&amp;"|"&amp;_xlfn.MAXIFS(Bitacora_Iteraciones!$I$4:$I$173,Bitacora_Iteraciones!$G$4:$G$173,$A19,Bitacora_Iteraciones!$E$4:$E$173,$B19,Bitacora_Iteraciones!$H$4:$H$173,$C19),Bitacora_Iteraciones!$R$4:$R$173,0))="Pasa","Sí","No"),"")</f>
        <v/>
      </c>
      <c r="G19" s="21" t="str">
        <f>IF(COUNTIFS(Bitacora_Iteraciones!$G$4:$G$173,$A19,Bitacora_Iteraciones!$E$4:$E$173,$B19,Bitacora_Iteraciones!$H$4:$H$173,$C19,Bitacora_Iteraciones!$M$4:$M$173,"Falla")&gt;0,"Sí",IF(COUNTIFS(Bitacora_Iteraciones!$G$4:$G$173,$A19,Bitacora_Iteraciones!$E$4:$E$173,$B19,Bitacora_Iteraciones!$H$4:$H$173,$C19)=0,"","No"))</f>
        <v/>
      </c>
      <c r="H19" s="21" t="str">
        <f>IF(COUNTIFS(Bitacora_Iteraciones!$G$4:$G$173,$A19,Bitacora_Iteraciones!$E$4:$E$173,$B19,Bitacora_Iteraciones!$H$4:$H$173,$C19,Bitacora_Iteraciones!$N$4:$N$173,"Sí")&gt;0,"Sí",IF(COUNTIFS(Bitacora_Iteraciones!$G$4:$G$173,$A19,Bitacora_Iteraciones!$E$4:$E$173,$B19,Bitacora_Iteraciones!$H$4:$H$173,$C19)=0,"","No"))</f>
        <v/>
      </c>
      <c r="I19" s="21">
        <f>SUMIFS(Bitacora_Iteraciones!$O$4:$O$173,Bitacora_Iteraciones!$G$4:$G$173,$A19,Bitacora_Iteraciones!$E$4:$E$173,$B19,Bitacora_Iteraciones!$H$4:$H$173,$C19)</f>
        <v>0</v>
      </c>
    </row>
    <row r="20" spans="1:9" ht="15.75" customHeight="1" x14ac:dyDescent="0.25">
      <c r="A20" s="20" t="s">
        <v>105</v>
      </c>
      <c r="B20" s="20" t="s">
        <v>188</v>
      </c>
      <c r="C20" s="20">
        <v>2</v>
      </c>
      <c r="D20" s="21">
        <f>COUNTIFS(Bitacora_Iteraciones!$G$4:$G$173,$A20,Bitacora_Iteraciones!$E$4:$E$173,$B20,Bitacora_Iteraciones!$H$4:$H$173,$C20)</f>
        <v>0</v>
      </c>
      <c r="E20" s="21" t="str">
        <f>IFERROR(IF(INDEX(Bitacora_Iteraciones!$L$4:$L$173,MATCH($A20&amp;"|"&amp;$B20&amp;"|"&amp;$C20&amp;"|"&amp;1,Bitacora_Iteraciones!$R$4:$R$173,0))="Pasa","Sí","No"),"")</f>
        <v/>
      </c>
      <c r="F20" s="21" t="str">
        <f>IFERROR(IF(INDEX(Bitacora_Iteraciones!$L$4:$L$173,MATCH($A20&amp;"|"&amp;$B20&amp;"|"&amp;$C20&amp;"|"&amp;_xlfn.MAXIFS(Bitacora_Iteraciones!$I$4:$I$173,Bitacora_Iteraciones!$G$4:$G$173,$A20,Bitacora_Iteraciones!$E$4:$E$173,$B20,Bitacora_Iteraciones!$H$4:$H$173,$C20),Bitacora_Iteraciones!$R$4:$R$173,0))="Pasa","Sí","No"),"")</f>
        <v/>
      </c>
      <c r="G20" s="21" t="str">
        <f>IF(COUNTIFS(Bitacora_Iteraciones!$G$4:$G$173,$A20,Bitacora_Iteraciones!$E$4:$E$173,$B20,Bitacora_Iteraciones!$H$4:$H$173,$C20,Bitacora_Iteraciones!$M$4:$M$173,"Falla")&gt;0,"Sí",IF(COUNTIFS(Bitacora_Iteraciones!$G$4:$G$173,$A20,Bitacora_Iteraciones!$E$4:$E$173,$B20,Bitacora_Iteraciones!$H$4:$H$173,$C20)=0,"","No"))</f>
        <v/>
      </c>
      <c r="H20" s="21" t="str">
        <f>IF(COUNTIFS(Bitacora_Iteraciones!$G$4:$G$173,$A20,Bitacora_Iteraciones!$E$4:$E$173,$B20,Bitacora_Iteraciones!$H$4:$H$173,$C20,Bitacora_Iteraciones!$N$4:$N$173,"Sí")&gt;0,"Sí",IF(COUNTIFS(Bitacora_Iteraciones!$G$4:$G$173,$A20,Bitacora_Iteraciones!$E$4:$E$173,$B20,Bitacora_Iteraciones!$H$4:$H$173,$C20)=0,"","No"))</f>
        <v/>
      </c>
      <c r="I20" s="21">
        <f>SUMIFS(Bitacora_Iteraciones!$O$4:$O$173,Bitacora_Iteraciones!$G$4:$G$173,$A20,Bitacora_Iteraciones!$E$4:$E$173,$B20,Bitacora_Iteraciones!$H$4:$H$173,$C20)</f>
        <v>0</v>
      </c>
    </row>
    <row r="21" spans="1:9" ht="15.75" customHeight="1" x14ac:dyDescent="0.25">
      <c r="A21" s="20" t="s">
        <v>105</v>
      </c>
      <c r="B21" s="20" t="s">
        <v>188</v>
      </c>
      <c r="C21" s="20">
        <v>3</v>
      </c>
      <c r="D21" s="21">
        <f>COUNTIFS(Bitacora_Iteraciones!$G$4:$G$173,$A21,Bitacora_Iteraciones!$E$4:$E$173,$B21,Bitacora_Iteraciones!$H$4:$H$173,$C21)</f>
        <v>0</v>
      </c>
      <c r="E21" s="21" t="str">
        <f>IFERROR(IF(INDEX(Bitacora_Iteraciones!$L$4:$L$173,MATCH($A21&amp;"|"&amp;$B21&amp;"|"&amp;$C21&amp;"|"&amp;1,Bitacora_Iteraciones!$R$4:$R$173,0))="Pasa","Sí","No"),"")</f>
        <v/>
      </c>
      <c r="F21" s="21" t="str">
        <f>IFERROR(IF(INDEX(Bitacora_Iteraciones!$L$4:$L$173,MATCH($A21&amp;"|"&amp;$B21&amp;"|"&amp;$C21&amp;"|"&amp;_xlfn.MAXIFS(Bitacora_Iteraciones!$I$4:$I$173,Bitacora_Iteraciones!$G$4:$G$173,$A21,Bitacora_Iteraciones!$E$4:$E$173,$B21,Bitacora_Iteraciones!$H$4:$H$173,$C21),Bitacora_Iteraciones!$R$4:$R$173,0))="Pasa","Sí","No"),"")</f>
        <v/>
      </c>
      <c r="G21" s="21" t="str">
        <f>IF(COUNTIFS(Bitacora_Iteraciones!$G$4:$G$173,$A21,Bitacora_Iteraciones!$E$4:$E$173,$B21,Bitacora_Iteraciones!$H$4:$H$173,$C21,Bitacora_Iteraciones!$M$4:$M$173,"Falla")&gt;0,"Sí",IF(COUNTIFS(Bitacora_Iteraciones!$G$4:$G$173,$A21,Bitacora_Iteraciones!$E$4:$E$173,$B21,Bitacora_Iteraciones!$H$4:$H$173,$C21)=0,"","No"))</f>
        <v/>
      </c>
      <c r="H21" s="21" t="str">
        <f>IF(COUNTIFS(Bitacora_Iteraciones!$G$4:$G$173,$A21,Bitacora_Iteraciones!$E$4:$E$173,$B21,Bitacora_Iteraciones!$H$4:$H$173,$C21,Bitacora_Iteraciones!$N$4:$N$173,"Sí")&gt;0,"Sí",IF(COUNTIFS(Bitacora_Iteraciones!$G$4:$G$173,$A21,Bitacora_Iteraciones!$E$4:$E$173,$B21,Bitacora_Iteraciones!$H$4:$H$173,$C21)=0,"","No"))</f>
        <v/>
      </c>
      <c r="I21" s="21">
        <f>SUMIFS(Bitacora_Iteraciones!$O$4:$O$173,Bitacora_Iteraciones!$G$4:$G$173,$A21,Bitacora_Iteraciones!$E$4:$E$173,$B21,Bitacora_Iteraciones!$H$4:$H$173,$C21)</f>
        <v>0</v>
      </c>
    </row>
    <row r="22" spans="1:9" ht="15.75" customHeight="1" x14ac:dyDescent="0.25">
      <c r="A22" s="20" t="s">
        <v>109</v>
      </c>
      <c r="B22" s="20" t="s">
        <v>173</v>
      </c>
      <c r="C22" s="20">
        <v>1</v>
      </c>
      <c r="D22" s="21">
        <f>COUNTIFS(Bitacora_Iteraciones!$G$4:$G$173,$A22,Bitacora_Iteraciones!$E$4:$E$173,$B22,Bitacora_Iteraciones!$H$4:$H$173,$C22)</f>
        <v>0</v>
      </c>
      <c r="E22" s="21" t="str">
        <f>IFERROR(IF(INDEX(Bitacora_Iteraciones!$L$4:$L$173,MATCH($A22&amp;"|"&amp;$B22&amp;"|"&amp;$C22&amp;"|"&amp;1,Bitacora_Iteraciones!$R$4:$R$173,0))="Pasa","Sí","No"),"")</f>
        <v/>
      </c>
      <c r="F22" s="21" t="str">
        <f>IFERROR(IF(INDEX(Bitacora_Iteraciones!$L$4:$L$173,MATCH($A22&amp;"|"&amp;$B22&amp;"|"&amp;$C22&amp;"|"&amp;_xlfn.MAXIFS(Bitacora_Iteraciones!$I$4:$I$173,Bitacora_Iteraciones!$G$4:$G$173,$A22,Bitacora_Iteraciones!$E$4:$E$173,$B22,Bitacora_Iteraciones!$H$4:$H$173,$C22),Bitacora_Iteraciones!$R$4:$R$173,0))="Pasa","Sí","No"),"")</f>
        <v/>
      </c>
      <c r="G22" s="21" t="str">
        <f>IF(COUNTIFS(Bitacora_Iteraciones!$G$4:$G$173,$A22,Bitacora_Iteraciones!$E$4:$E$173,$B22,Bitacora_Iteraciones!$H$4:$H$173,$C22,Bitacora_Iteraciones!$M$4:$M$173,"Falla")&gt;0,"Sí",IF(COUNTIFS(Bitacora_Iteraciones!$G$4:$G$173,$A22,Bitacora_Iteraciones!$E$4:$E$173,$B22,Bitacora_Iteraciones!$H$4:$H$173,$C22)=0,"","No"))</f>
        <v/>
      </c>
      <c r="H22" s="21" t="str">
        <f>IF(COUNTIFS(Bitacora_Iteraciones!$G$4:$G$173,$A22,Bitacora_Iteraciones!$E$4:$E$173,$B22,Bitacora_Iteraciones!$H$4:$H$173,$C22,Bitacora_Iteraciones!$N$4:$N$173,"Sí")&gt;0,"Sí",IF(COUNTIFS(Bitacora_Iteraciones!$G$4:$G$173,$A22,Bitacora_Iteraciones!$E$4:$E$173,$B22,Bitacora_Iteraciones!$H$4:$H$173,$C22)=0,"","No"))</f>
        <v/>
      </c>
      <c r="I22" s="21">
        <f>SUMIFS(Bitacora_Iteraciones!$O$4:$O$173,Bitacora_Iteraciones!$G$4:$G$173,$A22,Bitacora_Iteraciones!$E$4:$E$173,$B22,Bitacora_Iteraciones!$H$4:$H$173,$C22)</f>
        <v>0</v>
      </c>
    </row>
    <row r="23" spans="1:9" ht="15.75" customHeight="1" x14ac:dyDescent="0.25">
      <c r="A23" s="20" t="s">
        <v>109</v>
      </c>
      <c r="B23" s="20" t="s">
        <v>173</v>
      </c>
      <c r="C23" s="20">
        <v>2</v>
      </c>
      <c r="D23" s="21">
        <f>COUNTIFS(Bitacora_Iteraciones!$G$4:$G$173,$A23,Bitacora_Iteraciones!$E$4:$E$173,$B23,Bitacora_Iteraciones!$H$4:$H$173,$C23)</f>
        <v>0</v>
      </c>
      <c r="E23" s="21" t="str">
        <f>IFERROR(IF(INDEX(Bitacora_Iteraciones!$L$4:$L$173,MATCH($A23&amp;"|"&amp;$B23&amp;"|"&amp;$C23&amp;"|"&amp;1,Bitacora_Iteraciones!$R$4:$R$173,0))="Pasa","Sí","No"),"")</f>
        <v/>
      </c>
      <c r="F23" s="21" t="str">
        <f>IFERROR(IF(INDEX(Bitacora_Iteraciones!$L$4:$L$173,MATCH($A23&amp;"|"&amp;$B23&amp;"|"&amp;$C23&amp;"|"&amp;_xlfn.MAXIFS(Bitacora_Iteraciones!$I$4:$I$173,Bitacora_Iteraciones!$G$4:$G$173,$A23,Bitacora_Iteraciones!$E$4:$E$173,$B23,Bitacora_Iteraciones!$H$4:$H$173,$C23),Bitacora_Iteraciones!$R$4:$R$173,0))="Pasa","Sí","No"),"")</f>
        <v/>
      </c>
      <c r="G23" s="21" t="str">
        <f>IF(COUNTIFS(Bitacora_Iteraciones!$G$4:$G$173,$A23,Bitacora_Iteraciones!$E$4:$E$173,$B23,Bitacora_Iteraciones!$H$4:$H$173,$C23,Bitacora_Iteraciones!$M$4:$M$173,"Falla")&gt;0,"Sí",IF(COUNTIFS(Bitacora_Iteraciones!$G$4:$G$173,$A23,Bitacora_Iteraciones!$E$4:$E$173,$B23,Bitacora_Iteraciones!$H$4:$H$173,$C23)=0,"","No"))</f>
        <v/>
      </c>
      <c r="H23" s="21" t="str">
        <f>IF(COUNTIFS(Bitacora_Iteraciones!$G$4:$G$173,$A23,Bitacora_Iteraciones!$E$4:$E$173,$B23,Bitacora_Iteraciones!$H$4:$H$173,$C23,Bitacora_Iteraciones!$N$4:$N$173,"Sí")&gt;0,"Sí",IF(COUNTIFS(Bitacora_Iteraciones!$G$4:$G$173,$A23,Bitacora_Iteraciones!$E$4:$E$173,$B23,Bitacora_Iteraciones!$H$4:$H$173,$C23)=0,"","No"))</f>
        <v/>
      </c>
      <c r="I23" s="21">
        <f>SUMIFS(Bitacora_Iteraciones!$O$4:$O$173,Bitacora_Iteraciones!$G$4:$G$173,$A23,Bitacora_Iteraciones!$E$4:$E$173,$B23,Bitacora_Iteraciones!$H$4:$H$173,$C23)</f>
        <v>0</v>
      </c>
    </row>
    <row r="24" spans="1:9" ht="15.75" customHeight="1" x14ac:dyDescent="0.25">
      <c r="A24" s="20" t="s">
        <v>109</v>
      </c>
      <c r="B24" s="20" t="s">
        <v>173</v>
      </c>
      <c r="C24" s="20">
        <v>3</v>
      </c>
      <c r="D24" s="21">
        <f>COUNTIFS(Bitacora_Iteraciones!$G$4:$G$173,$A24,Bitacora_Iteraciones!$E$4:$E$173,$B24,Bitacora_Iteraciones!$H$4:$H$173,$C24)</f>
        <v>0</v>
      </c>
      <c r="E24" s="21" t="str">
        <f>IFERROR(IF(INDEX(Bitacora_Iteraciones!$L$4:$L$173,MATCH($A24&amp;"|"&amp;$B24&amp;"|"&amp;$C24&amp;"|"&amp;1,Bitacora_Iteraciones!$R$4:$R$173,0))="Pasa","Sí","No"),"")</f>
        <v/>
      </c>
      <c r="F24" s="21" t="str">
        <f>IFERROR(IF(INDEX(Bitacora_Iteraciones!$L$4:$L$173,MATCH($A24&amp;"|"&amp;$B24&amp;"|"&amp;$C24&amp;"|"&amp;_xlfn.MAXIFS(Bitacora_Iteraciones!$I$4:$I$173,Bitacora_Iteraciones!$G$4:$G$173,$A24,Bitacora_Iteraciones!$E$4:$E$173,$B24,Bitacora_Iteraciones!$H$4:$H$173,$C24),Bitacora_Iteraciones!$R$4:$R$173,0))="Pasa","Sí","No"),"")</f>
        <v/>
      </c>
      <c r="G24" s="21" t="str">
        <f>IF(COUNTIFS(Bitacora_Iteraciones!$G$4:$G$173,$A24,Bitacora_Iteraciones!$E$4:$E$173,$B24,Bitacora_Iteraciones!$H$4:$H$173,$C24,Bitacora_Iteraciones!$M$4:$M$173,"Falla")&gt;0,"Sí",IF(COUNTIFS(Bitacora_Iteraciones!$G$4:$G$173,$A24,Bitacora_Iteraciones!$E$4:$E$173,$B24,Bitacora_Iteraciones!$H$4:$H$173,$C24)=0,"","No"))</f>
        <v/>
      </c>
      <c r="H24" s="21" t="str">
        <f>IF(COUNTIFS(Bitacora_Iteraciones!$G$4:$G$173,$A24,Bitacora_Iteraciones!$E$4:$E$173,$B24,Bitacora_Iteraciones!$H$4:$H$173,$C24,Bitacora_Iteraciones!$N$4:$N$173,"Sí")&gt;0,"Sí",IF(COUNTIFS(Bitacora_Iteraciones!$G$4:$G$173,$A24,Bitacora_Iteraciones!$E$4:$E$173,$B24,Bitacora_Iteraciones!$H$4:$H$173,$C24)=0,"","No"))</f>
        <v/>
      </c>
      <c r="I24" s="21">
        <f>SUMIFS(Bitacora_Iteraciones!$O$4:$O$173,Bitacora_Iteraciones!$G$4:$G$173,$A24,Bitacora_Iteraciones!$E$4:$E$173,$B24,Bitacora_Iteraciones!$H$4:$H$173,$C24)</f>
        <v>0</v>
      </c>
    </row>
    <row r="25" spans="1:9" ht="15.75" customHeight="1" x14ac:dyDescent="0.25">
      <c r="A25" s="20" t="s">
        <v>109</v>
      </c>
      <c r="B25" s="20" t="s">
        <v>188</v>
      </c>
      <c r="C25" s="20">
        <v>1</v>
      </c>
      <c r="D25" s="21">
        <f>COUNTIFS(Bitacora_Iteraciones!$G$4:$G$173,$A25,Bitacora_Iteraciones!$E$4:$E$173,$B25,Bitacora_Iteraciones!$H$4:$H$173,$C25)</f>
        <v>0</v>
      </c>
      <c r="E25" s="21" t="str">
        <f>IFERROR(IF(INDEX(Bitacora_Iteraciones!$L$4:$L$173,MATCH($A25&amp;"|"&amp;$B25&amp;"|"&amp;$C25&amp;"|"&amp;1,Bitacora_Iteraciones!$R$4:$R$173,0))="Pasa","Sí","No"),"")</f>
        <v/>
      </c>
      <c r="F25" s="21" t="str">
        <f>IFERROR(IF(INDEX(Bitacora_Iteraciones!$L$4:$L$173,MATCH($A25&amp;"|"&amp;$B25&amp;"|"&amp;$C25&amp;"|"&amp;_xlfn.MAXIFS(Bitacora_Iteraciones!$I$4:$I$173,Bitacora_Iteraciones!$G$4:$G$173,$A25,Bitacora_Iteraciones!$E$4:$E$173,$B25,Bitacora_Iteraciones!$H$4:$H$173,$C25),Bitacora_Iteraciones!$R$4:$R$173,0))="Pasa","Sí","No"),"")</f>
        <v/>
      </c>
      <c r="G25" s="21" t="str">
        <f>IF(COUNTIFS(Bitacora_Iteraciones!$G$4:$G$173,$A25,Bitacora_Iteraciones!$E$4:$E$173,$B25,Bitacora_Iteraciones!$H$4:$H$173,$C25,Bitacora_Iteraciones!$M$4:$M$173,"Falla")&gt;0,"Sí",IF(COUNTIFS(Bitacora_Iteraciones!$G$4:$G$173,$A25,Bitacora_Iteraciones!$E$4:$E$173,$B25,Bitacora_Iteraciones!$H$4:$H$173,$C25)=0,"","No"))</f>
        <v/>
      </c>
      <c r="H25" s="21" t="str">
        <f>IF(COUNTIFS(Bitacora_Iteraciones!$G$4:$G$173,$A25,Bitacora_Iteraciones!$E$4:$E$173,$B25,Bitacora_Iteraciones!$H$4:$H$173,$C25,Bitacora_Iteraciones!$N$4:$N$173,"Sí")&gt;0,"Sí",IF(COUNTIFS(Bitacora_Iteraciones!$G$4:$G$173,$A25,Bitacora_Iteraciones!$E$4:$E$173,$B25,Bitacora_Iteraciones!$H$4:$H$173,$C25)=0,"","No"))</f>
        <v/>
      </c>
      <c r="I25" s="21">
        <f>SUMIFS(Bitacora_Iteraciones!$O$4:$O$173,Bitacora_Iteraciones!$G$4:$G$173,$A25,Bitacora_Iteraciones!$E$4:$E$173,$B25,Bitacora_Iteraciones!$H$4:$H$173,$C25)</f>
        <v>0</v>
      </c>
    </row>
    <row r="26" spans="1:9" ht="15.75" customHeight="1" x14ac:dyDescent="0.25">
      <c r="A26" s="20" t="s">
        <v>109</v>
      </c>
      <c r="B26" s="20" t="s">
        <v>188</v>
      </c>
      <c r="C26" s="20">
        <v>2</v>
      </c>
      <c r="D26" s="21">
        <f>COUNTIFS(Bitacora_Iteraciones!$G$4:$G$173,$A26,Bitacora_Iteraciones!$E$4:$E$173,$B26,Bitacora_Iteraciones!$H$4:$H$173,$C26)</f>
        <v>0</v>
      </c>
      <c r="E26" s="21" t="str">
        <f>IFERROR(IF(INDEX(Bitacora_Iteraciones!$L$4:$L$173,MATCH($A26&amp;"|"&amp;$B26&amp;"|"&amp;$C26&amp;"|"&amp;1,Bitacora_Iteraciones!$R$4:$R$173,0))="Pasa","Sí","No"),"")</f>
        <v/>
      </c>
      <c r="F26" s="21" t="str">
        <f>IFERROR(IF(INDEX(Bitacora_Iteraciones!$L$4:$L$173,MATCH($A26&amp;"|"&amp;$B26&amp;"|"&amp;$C26&amp;"|"&amp;_xlfn.MAXIFS(Bitacora_Iteraciones!$I$4:$I$173,Bitacora_Iteraciones!$G$4:$G$173,$A26,Bitacora_Iteraciones!$E$4:$E$173,$B26,Bitacora_Iteraciones!$H$4:$H$173,$C26),Bitacora_Iteraciones!$R$4:$R$173,0))="Pasa","Sí","No"),"")</f>
        <v/>
      </c>
      <c r="G26" s="21" t="str">
        <f>IF(COUNTIFS(Bitacora_Iteraciones!$G$4:$G$173,$A26,Bitacora_Iteraciones!$E$4:$E$173,$B26,Bitacora_Iteraciones!$H$4:$H$173,$C26,Bitacora_Iteraciones!$M$4:$M$173,"Falla")&gt;0,"Sí",IF(COUNTIFS(Bitacora_Iteraciones!$G$4:$G$173,$A26,Bitacora_Iteraciones!$E$4:$E$173,$B26,Bitacora_Iteraciones!$H$4:$H$173,$C26)=0,"","No"))</f>
        <v/>
      </c>
      <c r="H26" s="21" t="str">
        <f>IF(COUNTIFS(Bitacora_Iteraciones!$G$4:$G$173,$A26,Bitacora_Iteraciones!$E$4:$E$173,$B26,Bitacora_Iteraciones!$H$4:$H$173,$C26,Bitacora_Iteraciones!$N$4:$N$173,"Sí")&gt;0,"Sí",IF(COUNTIFS(Bitacora_Iteraciones!$G$4:$G$173,$A26,Bitacora_Iteraciones!$E$4:$E$173,$B26,Bitacora_Iteraciones!$H$4:$H$173,$C26)=0,"","No"))</f>
        <v/>
      </c>
      <c r="I26" s="21">
        <f>SUMIFS(Bitacora_Iteraciones!$O$4:$O$173,Bitacora_Iteraciones!$G$4:$G$173,$A26,Bitacora_Iteraciones!$E$4:$E$173,$B26,Bitacora_Iteraciones!$H$4:$H$173,$C26)</f>
        <v>0</v>
      </c>
    </row>
    <row r="27" spans="1:9" ht="15.75" customHeight="1" x14ac:dyDescent="0.25">
      <c r="A27" s="20" t="s">
        <v>109</v>
      </c>
      <c r="B27" s="20" t="s">
        <v>188</v>
      </c>
      <c r="C27" s="20">
        <v>3</v>
      </c>
      <c r="D27" s="21">
        <f>COUNTIFS(Bitacora_Iteraciones!$G$4:$G$173,$A27,Bitacora_Iteraciones!$E$4:$E$173,$B27,Bitacora_Iteraciones!$H$4:$H$173,$C27)</f>
        <v>0</v>
      </c>
      <c r="E27" s="21" t="str">
        <f>IFERROR(IF(INDEX(Bitacora_Iteraciones!$L$4:$L$173,MATCH($A27&amp;"|"&amp;$B27&amp;"|"&amp;$C27&amp;"|"&amp;1,Bitacora_Iteraciones!$R$4:$R$173,0))="Pasa","Sí","No"),"")</f>
        <v/>
      </c>
      <c r="F27" s="21" t="str">
        <f>IFERROR(IF(INDEX(Bitacora_Iteraciones!$L$4:$L$173,MATCH($A27&amp;"|"&amp;$B27&amp;"|"&amp;$C27&amp;"|"&amp;_xlfn.MAXIFS(Bitacora_Iteraciones!$I$4:$I$173,Bitacora_Iteraciones!$G$4:$G$173,$A27,Bitacora_Iteraciones!$E$4:$E$173,$B27,Bitacora_Iteraciones!$H$4:$H$173,$C27),Bitacora_Iteraciones!$R$4:$R$173,0))="Pasa","Sí","No"),"")</f>
        <v/>
      </c>
      <c r="G27" s="21" t="str">
        <f>IF(COUNTIFS(Bitacora_Iteraciones!$G$4:$G$173,$A27,Bitacora_Iteraciones!$E$4:$E$173,$B27,Bitacora_Iteraciones!$H$4:$H$173,$C27,Bitacora_Iteraciones!$M$4:$M$173,"Falla")&gt;0,"Sí",IF(COUNTIFS(Bitacora_Iteraciones!$G$4:$G$173,$A27,Bitacora_Iteraciones!$E$4:$E$173,$B27,Bitacora_Iteraciones!$H$4:$H$173,$C27)=0,"","No"))</f>
        <v/>
      </c>
      <c r="H27" s="21" t="str">
        <f>IF(COUNTIFS(Bitacora_Iteraciones!$G$4:$G$173,$A27,Bitacora_Iteraciones!$E$4:$E$173,$B27,Bitacora_Iteraciones!$H$4:$H$173,$C27,Bitacora_Iteraciones!$N$4:$N$173,"Sí")&gt;0,"Sí",IF(COUNTIFS(Bitacora_Iteraciones!$G$4:$G$173,$A27,Bitacora_Iteraciones!$E$4:$E$173,$B27,Bitacora_Iteraciones!$H$4:$H$173,$C27)=0,"","No"))</f>
        <v/>
      </c>
      <c r="I27" s="21">
        <f>SUMIFS(Bitacora_Iteraciones!$O$4:$O$173,Bitacora_Iteraciones!$G$4:$G$173,$A27,Bitacora_Iteraciones!$E$4:$E$173,$B27,Bitacora_Iteraciones!$H$4:$H$173,$C27)</f>
        <v>0</v>
      </c>
    </row>
    <row r="28" spans="1:9" ht="15.75" customHeight="1" x14ac:dyDescent="0.25">
      <c r="A28" s="20" t="s">
        <v>113</v>
      </c>
      <c r="B28" s="20" t="s">
        <v>173</v>
      </c>
      <c r="C28" s="20">
        <v>1</v>
      </c>
      <c r="D28" s="21">
        <f>COUNTIFS(Bitacora_Iteraciones!$G$4:$G$173,$A28,Bitacora_Iteraciones!$E$4:$E$173,$B28,Bitacora_Iteraciones!$H$4:$H$173,$C28)</f>
        <v>1</v>
      </c>
      <c r="E28" s="21" t="str">
        <f>IFERROR(IF(INDEX(Bitacora_Iteraciones!$L$4:$L$173,MATCH($A28&amp;"|"&amp;$B28&amp;"|"&amp;$C28&amp;"|"&amp;1,Bitacora_Iteraciones!$R$4:$R$173,0))="Pasa","Sí","No"),"")</f>
        <v>Sí</v>
      </c>
      <c r="F28" s="21" t="str">
        <f>IFERROR(IF(INDEX(Bitacora_Iteraciones!$L$4:$L$173,MATCH($A28&amp;"|"&amp;$B28&amp;"|"&amp;$C28&amp;"|"&amp;_xlfn.MAXIFS(Bitacora_Iteraciones!$I$4:$I$173,Bitacora_Iteraciones!$G$4:$G$173,$A28,Bitacora_Iteraciones!$E$4:$E$173,$B28,Bitacora_Iteraciones!$H$4:$H$173,$C28),Bitacora_Iteraciones!$R$4:$R$173,0))="Pasa","Sí","No"),"")</f>
        <v>Sí</v>
      </c>
      <c r="G28" s="21" t="str">
        <f>IF(COUNTIFS(Bitacora_Iteraciones!$G$4:$G$173,$A28,Bitacora_Iteraciones!$E$4:$E$173,$B28,Bitacora_Iteraciones!$H$4:$H$173,$C28,Bitacora_Iteraciones!$M$4:$M$173,"Falla")&gt;0,"Sí",IF(COUNTIFS(Bitacora_Iteraciones!$G$4:$G$173,$A28,Bitacora_Iteraciones!$E$4:$E$173,$B28,Bitacora_Iteraciones!$H$4:$H$173,$C28)=0,"","No"))</f>
        <v>No</v>
      </c>
      <c r="H28" s="21" t="str">
        <f>IF(COUNTIFS(Bitacora_Iteraciones!$G$4:$G$173,$A28,Bitacora_Iteraciones!$E$4:$E$173,$B28,Bitacora_Iteraciones!$H$4:$H$173,$C28,Bitacora_Iteraciones!$N$4:$N$173,"Sí")&gt;0,"Sí",IF(COUNTIFS(Bitacora_Iteraciones!$G$4:$G$173,$A28,Bitacora_Iteraciones!$E$4:$E$173,$B28,Bitacora_Iteraciones!$H$4:$H$173,$C28)=0,"","No"))</f>
        <v>No</v>
      </c>
      <c r="I28" s="21">
        <f>SUMIFS(Bitacora_Iteraciones!$O$4:$O$173,Bitacora_Iteraciones!$G$4:$G$173,$A28,Bitacora_Iteraciones!$E$4:$E$173,$B28,Bitacora_Iteraciones!$H$4:$H$173,$C28)</f>
        <v>22</v>
      </c>
    </row>
    <row r="29" spans="1:9" ht="15.75" customHeight="1" x14ac:dyDescent="0.25">
      <c r="A29" s="20" t="s">
        <v>113</v>
      </c>
      <c r="B29" s="20" t="s">
        <v>173</v>
      </c>
      <c r="C29" s="20">
        <v>2</v>
      </c>
      <c r="D29" s="21">
        <f>COUNTIFS(Bitacora_Iteraciones!$G$4:$G$173,$A29,Bitacora_Iteraciones!$E$4:$E$173,$B29,Bitacora_Iteraciones!$H$4:$H$173,$C29)</f>
        <v>0</v>
      </c>
      <c r="E29" s="21" t="str">
        <f>IFERROR(IF(INDEX(Bitacora_Iteraciones!$L$4:$L$173,MATCH($A29&amp;"|"&amp;$B29&amp;"|"&amp;$C29&amp;"|"&amp;1,Bitacora_Iteraciones!$R$4:$R$173,0))="Pasa","Sí","No"),"")</f>
        <v/>
      </c>
      <c r="F29" s="21" t="str">
        <f>IFERROR(IF(INDEX(Bitacora_Iteraciones!$L$4:$L$173,MATCH($A29&amp;"|"&amp;$B29&amp;"|"&amp;$C29&amp;"|"&amp;_xlfn.MAXIFS(Bitacora_Iteraciones!$I$4:$I$173,Bitacora_Iteraciones!$G$4:$G$173,$A29,Bitacora_Iteraciones!$E$4:$E$173,$B29,Bitacora_Iteraciones!$H$4:$H$173,$C29),Bitacora_Iteraciones!$R$4:$R$173,0))="Pasa","Sí","No"),"")</f>
        <v/>
      </c>
      <c r="G29" s="21" t="str">
        <f>IF(COUNTIFS(Bitacora_Iteraciones!$G$4:$G$173,$A29,Bitacora_Iteraciones!$E$4:$E$173,$B29,Bitacora_Iteraciones!$H$4:$H$173,$C29,Bitacora_Iteraciones!$M$4:$M$173,"Falla")&gt;0,"Sí",IF(COUNTIFS(Bitacora_Iteraciones!$G$4:$G$173,$A29,Bitacora_Iteraciones!$E$4:$E$173,$B29,Bitacora_Iteraciones!$H$4:$H$173,$C29)=0,"","No"))</f>
        <v/>
      </c>
      <c r="H29" s="21" t="str">
        <f>IF(COUNTIFS(Bitacora_Iteraciones!$G$4:$G$173,$A29,Bitacora_Iteraciones!$E$4:$E$173,$B29,Bitacora_Iteraciones!$H$4:$H$173,$C29,Bitacora_Iteraciones!$N$4:$N$173,"Sí")&gt;0,"Sí",IF(COUNTIFS(Bitacora_Iteraciones!$G$4:$G$173,$A29,Bitacora_Iteraciones!$E$4:$E$173,$B29,Bitacora_Iteraciones!$H$4:$H$173,$C29)=0,"","No"))</f>
        <v/>
      </c>
      <c r="I29" s="21">
        <f>SUMIFS(Bitacora_Iteraciones!$O$4:$O$173,Bitacora_Iteraciones!$G$4:$G$173,$A29,Bitacora_Iteraciones!$E$4:$E$173,$B29,Bitacora_Iteraciones!$H$4:$H$173,$C29)</f>
        <v>0</v>
      </c>
    </row>
    <row r="30" spans="1:9" ht="15.75" customHeight="1" x14ac:dyDescent="0.25">
      <c r="A30" s="20" t="s">
        <v>113</v>
      </c>
      <c r="B30" s="20" t="s">
        <v>173</v>
      </c>
      <c r="C30" s="20">
        <v>3</v>
      </c>
      <c r="D30" s="21">
        <f>COUNTIFS(Bitacora_Iteraciones!$G$4:$G$173,$A30,Bitacora_Iteraciones!$E$4:$E$173,$B30,Bitacora_Iteraciones!$H$4:$H$173,$C30)</f>
        <v>0</v>
      </c>
      <c r="E30" s="21" t="str">
        <f>IFERROR(IF(INDEX(Bitacora_Iteraciones!$L$4:$L$173,MATCH($A30&amp;"|"&amp;$B30&amp;"|"&amp;$C30&amp;"|"&amp;1,Bitacora_Iteraciones!$R$4:$R$173,0))="Pasa","Sí","No"),"")</f>
        <v/>
      </c>
      <c r="F30" s="21" t="str">
        <f>IFERROR(IF(INDEX(Bitacora_Iteraciones!$L$4:$L$173,MATCH($A30&amp;"|"&amp;$B30&amp;"|"&amp;$C30&amp;"|"&amp;_xlfn.MAXIFS(Bitacora_Iteraciones!$I$4:$I$173,Bitacora_Iteraciones!$G$4:$G$173,$A30,Bitacora_Iteraciones!$E$4:$E$173,$B30,Bitacora_Iteraciones!$H$4:$H$173,$C30),Bitacora_Iteraciones!$R$4:$R$173,0))="Pasa","Sí","No"),"")</f>
        <v/>
      </c>
      <c r="G30" s="21" t="str">
        <f>IF(COUNTIFS(Bitacora_Iteraciones!$G$4:$G$173,$A30,Bitacora_Iteraciones!$E$4:$E$173,$B30,Bitacora_Iteraciones!$H$4:$H$173,$C30,Bitacora_Iteraciones!$M$4:$M$173,"Falla")&gt;0,"Sí",IF(COUNTIFS(Bitacora_Iteraciones!$G$4:$G$173,$A30,Bitacora_Iteraciones!$E$4:$E$173,$B30,Bitacora_Iteraciones!$H$4:$H$173,$C30)=0,"","No"))</f>
        <v/>
      </c>
      <c r="H30" s="21" t="str">
        <f>IF(COUNTIFS(Bitacora_Iteraciones!$G$4:$G$173,$A30,Bitacora_Iteraciones!$E$4:$E$173,$B30,Bitacora_Iteraciones!$H$4:$H$173,$C30,Bitacora_Iteraciones!$N$4:$N$173,"Sí")&gt;0,"Sí",IF(COUNTIFS(Bitacora_Iteraciones!$G$4:$G$173,$A30,Bitacora_Iteraciones!$E$4:$E$173,$B30,Bitacora_Iteraciones!$H$4:$H$173,$C30)=0,"","No"))</f>
        <v/>
      </c>
      <c r="I30" s="21">
        <f>SUMIFS(Bitacora_Iteraciones!$O$4:$O$173,Bitacora_Iteraciones!$G$4:$G$173,$A30,Bitacora_Iteraciones!$E$4:$E$173,$B30,Bitacora_Iteraciones!$H$4:$H$173,$C30)</f>
        <v>0</v>
      </c>
    </row>
    <row r="31" spans="1:9" ht="15.75" customHeight="1" x14ac:dyDescent="0.25">
      <c r="A31" s="20" t="s">
        <v>113</v>
      </c>
      <c r="B31" s="20" t="s">
        <v>188</v>
      </c>
      <c r="C31" s="20">
        <v>1</v>
      </c>
      <c r="D31" s="21">
        <f>COUNTIFS(Bitacora_Iteraciones!$G$4:$G$173,$A31,Bitacora_Iteraciones!$E$4:$E$173,$B31,Bitacora_Iteraciones!$H$4:$H$173,$C31)</f>
        <v>0</v>
      </c>
      <c r="E31" s="21" t="str">
        <f>IFERROR(IF(INDEX(Bitacora_Iteraciones!$L$4:$L$173,MATCH($A31&amp;"|"&amp;$B31&amp;"|"&amp;$C31&amp;"|"&amp;1,Bitacora_Iteraciones!$R$4:$R$173,0))="Pasa","Sí","No"),"")</f>
        <v/>
      </c>
      <c r="F31" s="21" t="str">
        <f>IFERROR(IF(INDEX(Bitacora_Iteraciones!$L$4:$L$173,MATCH($A31&amp;"|"&amp;$B31&amp;"|"&amp;$C31&amp;"|"&amp;_xlfn.MAXIFS(Bitacora_Iteraciones!$I$4:$I$173,Bitacora_Iteraciones!$G$4:$G$173,$A31,Bitacora_Iteraciones!$E$4:$E$173,$B31,Bitacora_Iteraciones!$H$4:$H$173,$C31),Bitacora_Iteraciones!$R$4:$R$173,0))="Pasa","Sí","No"),"")</f>
        <v/>
      </c>
      <c r="G31" s="21" t="str">
        <f>IF(COUNTIFS(Bitacora_Iteraciones!$G$4:$G$173,$A31,Bitacora_Iteraciones!$E$4:$E$173,$B31,Bitacora_Iteraciones!$H$4:$H$173,$C31,Bitacora_Iteraciones!$M$4:$M$173,"Falla")&gt;0,"Sí",IF(COUNTIFS(Bitacora_Iteraciones!$G$4:$G$173,$A31,Bitacora_Iteraciones!$E$4:$E$173,$B31,Bitacora_Iteraciones!$H$4:$H$173,$C31)=0,"","No"))</f>
        <v/>
      </c>
      <c r="H31" s="21" t="str">
        <f>IF(COUNTIFS(Bitacora_Iteraciones!$G$4:$G$173,$A31,Bitacora_Iteraciones!$E$4:$E$173,$B31,Bitacora_Iteraciones!$H$4:$H$173,$C31,Bitacora_Iteraciones!$N$4:$N$173,"Sí")&gt;0,"Sí",IF(COUNTIFS(Bitacora_Iteraciones!$G$4:$G$173,$A31,Bitacora_Iteraciones!$E$4:$E$173,$B31,Bitacora_Iteraciones!$H$4:$H$173,$C31)=0,"","No"))</f>
        <v/>
      </c>
      <c r="I31" s="21">
        <f>SUMIFS(Bitacora_Iteraciones!$O$4:$O$173,Bitacora_Iteraciones!$G$4:$G$173,$A31,Bitacora_Iteraciones!$E$4:$E$173,$B31,Bitacora_Iteraciones!$H$4:$H$173,$C31)</f>
        <v>0</v>
      </c>
    </row>
    <row r="32" spans="1:9" ht="15.75" customHeight="1" x14ac:dyDescent="0.25">
      <c r="A32" s="20" t="s">
        <v>113</v>
      </c>
      <c r="B32" s="20" t="s">
        <v>188</v>
      </c>
      <c r="C32" s="20">
        <v>2</v>
      </c>
      <c r="D32" s="21">
        <f>COUNTIFS(Bitacora_Iteraciones!$G$4:$G$173,$A32,Bitacora_Iteraciones!$E$4:$E$173,$B32,Bitacora_Iteraciones!$H$4:$H$173,$C32)</f>
        <v>0</v>
      </c>
      <c r="E32" s="21" t="str">
        <f>IFERROR(IF(INDEX(Bitacora_Iteraciones!$L$4:$L$173,MATCH($A32&amp;"|"&amp;$B32&amp;"|"&amp;$C32&amp;"|"&amp;1,Bitacora_Iteraciones!$R$4:$R$173,0))="Pasa","Sí","No"),"")</f>
        <v/>
      </c>
      <c r="F32" s="21" t="str">
        <f>IFERROR(IF(INDEX(Bitacora_Iteraciones!$L$4:$L$173,MATCH($A32&amp;"|"&amp;$B32&amp;"|"&amp;$C32&amp;"|"&amp;_xlfn.MAXIFS(Bitacora_Iteraciones!$I$4:$I$173,Bitacora_Iteraciones!$G$4:$G$173,$A32,Bitacora_Iteraciones!$E$4:$E$173,$B32,Bitacora_Iteraciones!$H$4:$H$173,$C32),Bitacora_Iteraciones!$R$4:$R$173,0))="Pasa","Sí","No"),"")</f>
        <v/>
      </c>
      <c r="G32" s="21" t="str">
        <f>IF(COUNTIFS(Bitacora_Iteraciones!$G$4:$G$173,$A32,Bitacora_Iteraciones!$E$4:$E$173,$B32,Bitacora_Iteraciones!$H$4:$H$173,$C32,Bitacora_Iteraciones!$M$4:$M$173,"Falla")&gt;0,"Sí",IF(COUNTIFS(Bitacora_Iteraciones!$G$4:$G$173,$A32,Bitacora_Iteraciones!$E$4:$E$173,$B32,Bitacora_Iteraciones!$H$4:$H$173,$C32)=0,"","No"))</f>
        <v/>
      </c>
      <c r="H32" s="21" t="str">
        <f>IF(COUNTIFS(Bitacora_Iteraciones!$G$4:$G$173,$A32,Bitacora_Iteraciones!$E$4:$E$173,$B32,Bitacora_Iteraciones!$H$4:$H$173,$C32,Bitacora_Iteraciones!$N$4:$N$173,"Sí")&gt;0,"Sí",IF(COUNTIFS(Bitacora_Iteraciones!$G$4:$G$173,$A32,Bitacora_Iteraciones!$E$4:$E$173,$B32,Bitacora_Iteraciones!$H$4:$H$173,$C32)=0,"","No"))</f>
        <v/>
      </c>
      <c r="I32" s="21">
        <f>SUMIFS(Bitacora_Iteraciones!$O$4:$O$173,Bitacora_Iteraciones!$G$4:$G$173,$A32,Bitacora_Iteraciones!$E$4:$E$173,$B32,Bitacora_Iteraciones!$H$4:$H$173,$C32)</f>
        <v>0</v>
      </c>
    </row>
    <row r="33" spans="1:9" ht="15.75" customHeight="1" x14ac:dyDescent="0.25">
      <c r="A33" s="20" t="s">
        <v>113</v>
      </c>
      <c r="B33" s="20" t="s">
        <v>188</v>
      </c>
      <c r="C33" s="20">
        <v>3</v>
      </c>
      <c r="D33" s="21">
        <f>COUNTIFS(Bitacora_Iteraciones!$G$4:$G$173,$A33,Bitacora_Iteraciones!$E$4:$E$173,$B33,Bitacora_Iteraciones!$H$4:$H$173,$C33)</f>
        <v>0</v>
      </c>
      <c r="E33" s="21" t="str">
        <f>IFERROR(IF(INDEX(Bitacora_Iteraciones!$L$4:$L$173,MATCH($A33&amp;"|"&amp;$B33&amp;"|"&amp;$C33&amp;"|"&amp;1,Bitacora_Iteraciones!$R$4:$R$173,0))="Pasa","Sí","No"),"")</f>
        <v/>
      </c>
      <c r="F33" s="21" t="str">
        <f>IFERROR(IF(INDEX(Bitacora_Iteraciones!$L$4:$L$173,MATCH($A33&amp;"|"&amp;$B33&amp;"|"&amp;$C33&amp;"|"&amp;_xlfn.MAXIFS(Bitacora_Iteraciones!$I$4:$I$173,Bitacora_Iteraciones!$G$4:$G$173,$A33,Bitacora_Iteraciones!$E$4:$E$173,$B33,Bitacora_Iteraciones!$H$4:$H$173,$C33),Bitacora_Iteraciones!$R$4:$R$173,0))="Pasa","Sí","No"),"")</f>
        <v/>
      </c>
      <c r="G33" s="21" t="str">
        <f>IF(COUNTIFS(Bitacora_Iteraciones!$G$4:$G$173,$A33,Bitacora_Iteraciones!$E$4:$E$173,$B33,Bitacora_Iteraciones!$H$4:$H$173,$C33,Bitacora_Iteraciones!$M$4:$M$173,"Falla")&gt;0,"Sí",IF(COUNTIFS(Bitacora_Iteraciones!$G$4:$G$173,$A33,Bitacora_Iteraciones!$E$4:$E$173,$B33,Bitacora_Iteraciones!$H$4:$H$173,$C33)=0,"","No"))</f>
        <v/>
      </c>
      <c r="H33" s="21" t="str">
        <f>IF(COUNTIFS(Bitacora_Iteraciones!$G$4:$G$173,$A33,Bitacora_Iteraciones!$E$4:$E$173,$B33,Bitacora_Iteraciones!$H$4:$H$173,$C33,Bitacora_Iteraciones!$N$4:$N$173,"Sí")&gt;0,"Sí",IF(COUNTIFS(Bitacora_Iteraciones!$G$4:$G$173,$A33,Bitacora_Iteraciones!$E$4:$E$173,$B33,Bitacora_Iteraciones!$H$4:$H$173,$C33)=0,"","No"))</f>
        <v/>
      </c>
      <c r="I33" s="21">
        <f>SUMIFS(Bitacora_Iteraciones!$O$4:$O$173,Bitacora_Iteraciones!$G$4:$G$173,$A33,Bitacora_Iteraciones!$E$4:$E$173,$B33,Bitacora_Iteraciones!$H$4:$H$173,$C33)</f>
        <v>0</v>
      </c>
    </row>
    <row r="34" spans="1:9" ht="15.75" customHeight="1" x14ac:dyDescent="0.25">
      <c r="A34" s="20" t="s">
        <v>118</v>
      </c>
      <c r="B34" s="20" t="s">
        <v>173</v>
      </c>
      <c r="C34" s="20">
        <v>1</v>
      </c>
      <c r="D34" s="21">
        <f>COUNTIFS(Bitacora_Iteraciones!$G$4:$G$173,$A34,Bitacora_Iteraciones!$E$4:$E$173,$B34,Bitacora_Iteraciones!$H$4:$H$173,$C34)</f>
        <v>0</v>
      </c>
      <c r="E34" s="21" t="str">
        <f>IFERROR(IF(INDEX(Bitacora_Iteraciones!$L$4:$L$173,MATCH($A34&amp;"|"&amp;$B34&amp;"|"&amp;$C34&amp;"|"&amp;1,Bitacora_Iteraciones!$R$4:$R$173,0))="Pasa","Sí","No"),"")</f>
        <v/>
      </c>
      <c r="F34" s="21" t="str">
        <f>IFERROR(IF(INDEX(Bitacora_Iteraciones!$L$4:$L$173,MATCH($A34&amp;"|"&amp;$B34&amp;"|"&amp;$C34&amp;"|"&amp;_xlfn.MAXIFS(Bitacora_Iteraciones!$I$4:$I$173,Bitacora_Iteraciones!$G$4:$G$173,$A34,Bitacora_Iteraciones!$E$4:$E$173,$B34,Bitacora_Iteraciones!$H$4:$H$173,$C34),Bitacora_Iteraciones!$R$4:$R$173,0))="Pasa","Sí","No"),"")</f>
        <v/>
      </c>
      <c r="G34" s="21" t="str">
        <f>IF(COUNTIFS(Bitacora_Iteraciones!$G$4:$G$173,$A34,Bitacora_Iteraciones!$E$4:$E$173,$B34,Bitacora_Iteraciones!$H$4:$H$173,$C34,Bitacora_Iteraciones!$M$4:$M$173,"Falla")&gt;0,"Sí",IF(COUNTIFS(Bitacora_Iteraciones!$G$4:$G$173,$A34,Bitacora_Iteraciones!$E$4:$E$173,$B34,Bitacora_Iteraciones!$H$4:$H$173,$C34)=0,"","No"))</f>
        <v/>
      </c>
      <c r="H34" s="21" t="str">
        <f>IF(COUNTIFS(Bitacora_Iteraciones!$G$4:$G$173,$A34,Bitacora_Iteraciones!$E$4:$E$173,$B34,Bitacora_Iteraciones!$H$4:$H$173,$C34,Bitacora_Iteraciones!$N$4:$N$173,"Sí")&gt;0,"Sí",IF(COUNTIFS(Bitacora_Iteraciones!$G$4:$G$173,$A34,Bitacora_Iteraciones!$E$4:$E$173,$B34,Bitacora_Iteraciones!$H$4:$H$173,$C34)=0,"","No"))</f>
        <v/>
      </c>
      <c r="I34" s="21">
        <f>SUMIFS(Bitacora_Iteraciones!$O$4:$O$173,Bitacora_Iteraciones!$G$4:$G$173,$A34,Bitacora_Iteraciones!$E$4:$E$173,$B34,Bitacora_Iteraciones!$H$4:$H$173,$C34)</f>
        <v>0</v>
      </c>
    </row>
    <row r="35" spans="1:9" ht="15.75" customHeight="1" x14ac:dyDescent="0.25">
      <c r="A35" s="20" t="s">
        <v>118</v>
      </c>
      <c r="B35" s="20" t="s">
        <v>173</v>
      </c>
      <c r="C35" s="20">
        <v>2</v>
      </c>
      <c r="D35" s="21">
        <f>COUNTIFS(Bitacora_Iteraciones!$G$4:$G$173,$A35,Bitacora_Iteraciones!$E$4:$E$173,$B35,Bitacora_Iteraciones!$H$4:$H$173,$C35)</f>
        <v>0</v>
      </c>
      <c r="E35" s="21" t="str">
        <f>IFERROR(IF(INDEX(Bitacora_Iteraciones!$L$4:$L$173,MATCH($A35&amp;"|"&amp;$B35&amp;"|"&amp;$C35&amp;"|"&amp;1,Bitacora_Iteraciones!$R$4:$R$173,0))="Pasa","Sí","No"),"")</f>
        <v/>
      </c>
      <c r="F35" s="21" t="str">
        <f>IFERROR(IF(INDEX(Bitacora_Iteraciones!$L$4:$L$173,MATCH($A35&amp;"|"&amp;$B35&amp;"|"&amp;$C35&amp;"|"&amp;_xlfn.MAXIFS(Bitacora_Iteraciones!$I$4:$I$173,Bitacora_Iteraciones!$G$4:$G$173,$A35,Bitacora_Iteraciones!$E$4:$E$173,$B35,Bitacora_Iteraciones!$H$4:$H$173,$C35),Bitacora_Iteraciones!$R$4:$R$173,0))="Pasa","Sí","No"),"")</f>
        <v/>
      </c>
      <c r="G35" s="21" t="str">
        <f>IF(COUNTIFS(Bitacora_Iteraciones!$G$4:$G$173,$A35,Bitacora_Iteraciones!$E$4:$E$173,$B35,Bitacora_Iteraciones!$H$4:$H$173,$C35,Bitacora_Iteraciones!$M$4:$M$173,"Falla")&gt;0,"Sí",IF(COUNTIFS(Bitacora_Iteraciones!$G$4:$G$173,$A35,Bitacora_Iteraciones!$E$4:$E$173,$B35,Bitacora_Iteraciones!$H$4:$H$173,$C35)=0,"","No"))</f>
        <v/>
      </c>
      <c r="H35" s="21" t="str">
        <f>IF(COUNTIFS(Bitacora_Iteraciones!$G$4:$G$173,$A35,Bitacora_Iteraciones!$E$4:$E$173,$B35,Bitacora_Iteraciones!$H$4:$H$173,$C35,Bitacora_Iteraciones!$N$4:$N$173,"Sí")&gt;0,"Sí",IF(COUNTIFS(Bitacora_Iteraciones!$G$4:$G$173,$A35,Bitacora_Iteraciones!$E$4:$E$173,$B35,Bitacora_Iteraciones!$H$4:$H$173,$C35)=0,"","No"))</f>
        <v/>
      </c>
      <c r="I35" s="21">
        <f>SUMIFS(Bitacora_Iteraciones!$O$4:$O$173,Bitacora_Iteraciones!$G$4:$G$173,$A35,Bitacora_Iteraciones!$E$4:$E$173,$B35,Bitacora_Iteraciones!$H$4:$H$173,$C35)</f>
        <v>0</v>
      </c>
    </row>
    <row r="36" spans="1:9" ht="15.75" customHeight="1" x14ac:dyDescent="0.25">
      <c r="A36" s="20" t="s">
        <v>118</v>
      </c>
      <c r="B36" s="20" t="s">
        <v>173</v>
      </c>
      <c r="C36" s="20">
        <v>3</v>
      </c>
      <c r="D36" s="21">
        <f>COUNTIFS(Bitacora_Iteraciones!$G$4:$G$173,$A36,Bitacora_Iteraciones!$E$4:$E$173,$B36,Bitacora_Iteraciones!$H$4:$H$173,$C36)</f>
        <v>0</v>
      </c>
      <c r="E36" s="21" t="str">
        <f>IFERROR(IF(INDEX(Bitacora_Iteraciones!$L$4:$L$173,MATCH($A36&amp;"|"&amp;$B36&amp;"|"&amp;$C36&amp;"|"&amp;1,Bitacora_Iteraciones!$R$4:$R$173,0))="Pasa","Sí","No"),"")</f>
        <v/>
      </c>
      <c r="F36" s="21" t="str">
        <f>IFERROR(IF(INDEX(Bitacora_Iteraciones!$L$4:$L$173,MATCH($A36&amp;"|"&amp;$B36&amp;"|"&amp;$C36&amp;"|"&amp;_xlfn.MAXIFS(Bitacora_Iteraciones!$I$4:$I$173,Bitacora_Iteraciones!$G$4:$G$173,$A36,Bitacora_Iteraciones!$E$4:$E$173,$B36,Bitacora_Iteraciones!$H$4:$H$173,$C36),Bitacora_Iteraciones!$R$4:$R$173,0))="Pasa","Sí","No"),"")</f>
        <v/>
      </c>
      <c r="G36" s="21" t="str">
        <f>IF(COUNTIFS(Bitacora_Iteraciones!$G$4:$G$173,$A36,Bitacora_Iteraciones!$E$4:$E$173,$B36,Bitacora_Iteraciones!$H$4:$H$173,$C36,Bitacora_Iteraciones!$M$4:$M$173,"Falla")&gt;0,"Sí",IF(COUNTIFS(Bitacora_Iteraciones!$G$4:$G$173,$A36,Bitacora_Iteraciones!$E$4:$E$173,$B36,Bitacora_Iteraciones!$H$4:$H$173,$C36)=0,"","No"))</f>
        <v/>
      </c>
      <c r="H36" s="21" t="str">
        <f>IF(COUNTIFS(Bitacora_Iteraciones!$G$4:$G$173,$A36,Bitacora_Iteraciones!$E$4:$E$173,$B36,Bitacora_Iteraciones!$H$4:$H$173,$C36,Bitacora_Iteraciones!$N$4:$N$173,"Sí")&gt;0,"Sí",IF(COUNTIFS(Bitacora_Iteraciones!$G$4:$G$173,$A36,Bitacora_Iteraciones!$E$4:$E$173,$B36,Bitacora_Iteraciones!$H$4:$H$173,$C36)=0,"","No"))</f>
        <v/>
      </c>
      <c r="I36" s="21">
        <f>SUMIFS(Bitacora_Iteraciones!$O$4:$O$173,Bitacora_Iteraciones!$G$4:$G$173,$A36,Bitacora_Iteraciones!$E$4:$E$173,$B36,Bitacora_Iteraciones!$H$4:$H$173,$C36)</f>
        <v>0</v>
      </c>
    </row>
    <row r="37" spans="1:9" ht="15.75" customHeight="1" x14ac:dyDescent="0.25">
      <c r="A37" s="20" t="s">
        <v>118</v>
      </c>
      <c r="B37" s="20" t="s">
        <v>188</v>
      </c>
      <c r="C37" s="20">
        <v>1</v>
      </c>
      <c r="D37" s="21">
        <f>COUNTIFS(Bitacora_Iteraciones!$G$4:$G$173,$A37,Bitacora_Iteraciones!$E$4:$E$173,$B37,Bitacora_Iteraciones!$H$4:$H$173,$C37)</f>
        <v>0</v>
      </c>
      <c r="E37" s="21" t="str">
        <f>IFERROR(IF(INDEX(Bitacora_Iteraciones!$L$4:$L$173,MATCH($A37&amp;"|"&amp;$B37&amp;"|"&amp;$C37&amp;"|"&amp;1,Bitacora_Iteraciones!$R$4:$R$173,0))="Pasa","Sí","No"),"")</f>
        <v/>
      </c>
      <c r="F37" s="21" t="str">
        <f>IFERROR(IF(INDEX(Bitacora_Iteraciones!$L$4:$L$173,MATCH($A37&amp;"|"&amp;$B37&amp;"|"&amp;$C37&amp;"|"&amp;_xlfn.MAXIFS(Bitacora_Iteraciones!$I$4:$I$173,Bitacora_Iteraciones!$G$4:$G$173,$A37,Bitacora_Iteraciones!$E$4:$E$173,$B37,Bitacora_Iteraciones!$H$4:$H$173,$C37),Bitacora_Iteraciones!$R$4:$R$173,0))="Pasa","Sí","No"),"")</f>
        <v/>
      </c>
      <c r="G37" s="21" t="str">
        <f>IF(COUNTIFS(Bitacora_Iteraciones!$G$4:$G$173,$A37,Bitacora_Iteraciones!$E$4:$E$173,$B37,Bitacora_Iteraciones!$H$4:$H$173,$C37,Bitacora_Iteraciones!$M$4:$M$173,"Falla")&gt;0,"Sí",IF(COUNTIFS(Bitacora_Iteraciones!$G$4:$G$173,$A37,Bitacora_Iteraciones!$E$4:$E$173,$B37,Bitacora_Iteraciones!$H$4:$H$173,$C37)=0,"","No"))</f>
        <v/>
      </c>
      <c r="H37" s="21" t="str">
        <f>IF(COUNTIFS(Bitacora_Iteraciones!$G$4:$G$173,$A37,Bitacora_Iteraciones!$E$4:$E$173,$B37,Bitacora_Iteraciones!$H$4:$H$173,$C37,Bitacora_Iteraciones!$N$4:$N$173,"Sí")&gt;0,"Sí",IF(COUNTIFS(Bitacora_Iteraciones!$G$4:$G$173,$A37,Bitacora_Iteraciones!$E$4:$E$173,$B37,Bitacora_Iteraciones!$H$4:$H$173,$C37)=0,"","No"))</f>
        <v/>
      </c>
      <c r="I37" s="21">
        <f>SUMIFS(Bitacora_Iteraciones!$O$4:$O$173,Bitacora_Iteraciones!$G$4:$G$173,$A37,Bitacora_Iteraciones!$E$4:$E$173,$B37,Bitacora_Iteraciones!$H$4:$H$173,$C37)</f>
        <v>0</v>
      </c>
    </row>
    <row r="38" spans="1:9" ht="15.75" customHeight="1" x14ac:dyDescent="0.25">
      <c r="A38" s="20" t="s">
        <v>118</v>
      </c>
      <c r="B38" s="20" t="s">
        <v>188</v>
      </c>
      <c r="C38" s="20">
        <v>2</v>
      </c>
      <c r="D38" s="21">
        <f>COUNTIFS(Bitacora_Iteraciones!$G$4:$G$173,$A38,Bitacora_Iteraciones!$E$4:$E$173,$B38,Bitacora_Iteraciones!$H$4:$H$173,$C38)</f>
        <v>0</v>
      </c>
      <c r="E38" s="21" t="str">
        <f>IFERROR(IF(INDEX(Bitacora_Iteraciones!$L$4:$L$173,MATCH($A38&amp;"|"&amp;$B38&amp;"|"&amp;$C38&amp;"|"&amp;1,Bitacora_Iteraciones!$R$4:$R$173,0))="Pasa","Sí","No"),"")</f>
        <v/>
      </c>
      <c r="F38" s="21" t="str">
        <f>IFERROR(IF(INDEX(Bitacora_Iteraciones!$L$4:$L$173,MATCH($A38&amp;"|"&amp;$B38&amp;"|"&amp;$C38&amp;"|"&amp;_xlfn.MAXIFS(Bitacora_Iteraciones!$I$4:$I$173,Bitacora_Iteraciones!$G$4:$G$173,$A38,Bitacora_Iteraciones!$E$4:$E$173,$B38,Bitacora_Iteraciones!$H$4:$H$173,$C38),Bitacora_Iteraciones!$R$4:$R$173,0))="Pasa","Sí","No"),"")</f>
        <v/>
      </c>
      <c r="G38" s="21" t="str">
        <f>IF(COUNTIFS(Bitacora_Iteraciones!$G$4:$G$173,$A38,Bitacora_Iteraciones!$E$4:$E$173,$B38,Bitacora_Iteraciones!$H$4:$H$173,$C38,Bitacora_Iteraciones!$M$4:$M$173,"Falla")&gt;0,"Sí",IF(COUNTIFS(Bitacora_Iteraciones!$G$4:$G$173,$A38,Bitacora_Iteraciones!$E$4:$E$173,$B38,Bitacora_Iteraciones!$H$4:$H$173,$C38)=0,"","No"))</f>
        <v/>
      </c>
      <c r="H38" s="21" t="str">
        <f>IF(COUNTIFS(Bitacora_Iteraciones!$G$4:$G$173,$A38,Bitacora_Iteraciones!$E$4:$E$173,$B38,Bitacora_Iteraciones!$H$4:$H$173,$C38,Bitacora_Iteraciones!$N$4:$N$173,"Sí")&gt;0,"Sí",IF(COUNTIFS(Bitacora_Iteraciones!$G$4:$G$173,$A38,Bitacora_Iteraciones!$E$4:$E$173,$B38,Bitacora_Iteraciones!$H$4:$H$173,$C38)=0,"","No"))</f>
        <v/>
      </c>
      <c r="I38" s="21">
        <f>SUMIFS(Bitacora_Iteraciones!$O$4:$O$173,Bitacora_Iteraciones!$G$4:$G$173,$A38,Bitacora_Iteraciones!$E$4:$E$173,$B38,Bitacora_Iteraciones!$H$4:$H$173,$C38)</f>
        <v>0</v>
      </c>
    </row>
    <row r="39" spans="1:9" ht="15.75" customHeight="1" x14ac:dyDescent="0.25">
      <c r="A39" s="20" t="s">
        <v>118</v>
      </c>
      <c r="B39" s="20" t="s">
        <v>188</v>
      </c>
      <c r="C39" s="20">
        <v>3</v>
      </c>
      <c r="D39" s="21">
        <f>COUNTIFS(Bitacora_Iteraciones!$G$4:$G$173,$A39,Bitacora_Iteraciones!$E$4:$E$173,$B39,Bitacora_Iteraciones!$H$4:$H$173,$C39)</f>
        <v>0</v>
      </c>
      <c r="E39" s="21" t="str">
        <f>IFERROR(IF(INDEX(Bitacora_Iteraciones!$L$4:$L$173,MATCH($A39&amp;"|"&amp;$B39&amp;"|"&amp;$C39&amp;"|"&amp;1,Bitacora_Iteraciones!$R$4:$R$173,0))="Pasa","Sí","No"),"")</f>
        <v/>
      </c>
      <c r="F39" s="21" t="str">
        <f>IFERROR(IF(INDEX(Bitacora_Iteraciones!$L$4:$L$173,MATCH($A39&amp;"|"&amp;$B39&amp;"|"&amp;$C39&amp;"|"&amp;_xlfn.MAXIFS(Bitacora_Iteraciones!$I$4:$I$173,Bitacora_Iteraciones!$G$4:$G$173,$A39,Bitacora_Iteraciones!$E$4:$E$173,$B39,Bitacora_Iteraciones!$H$4:$H$173,$C39),Bitacora_Iteraciones!$R$4:$R$173,0))="Pasa","Sí","No"),"")</f>
        <v/>
      </c>
      <c r="G39" s="21" t="str">
        <f>IF(COUNTIFS(Bitacora_Iteraciones!$G$4:$G$173,$A39,Bitacora_Iteraciones!$E$4:$E$173,$B39,Bitacora_Iteraciones!$H$4:$H$173,$C39,Bitacora_Iteraciones!$M$4:$M$173,"Falla")&gt;0,"Sí",IF(COUNTIFS(Bitacora_Iteraciones!$G$4:$G$173,$A39,Bitacora_Iteraciones!$E$4:$E$173,$B39,Bitacora_Iteraciones!$H$4:$H$173,$C39)=0,"","No"))</f>
        <v/>
      </c>
      <c r="H39" s="21" t="str">
        <f>IF(COUNTIFS(Bitacora_Iteraciones!$G$4:$G$173,$A39,Bitacora_Iteraciones!$E$4:$E$173,$B39,Bitacora_Iteraciones!$H$4:$H$173,$C39,Bitacora_Iteraciones!$N$4:$N$173,"Sí")&gt;0,"Sí",IF(COUNTIFS(Bitacora_Iteraciones!$G$4:$G$173,$A39,Bitacora_Iteraciones!$E$4:$E$173,$B39,Bitacora_Iteraciones!$H$4:$H$173,$C39)=0,"","No"))</f>
        <v/>
      </c>
      <c r="I39" s="21">
        <f>SUMIFS(Bitacora_Iteraciones!$O$4:$O$173,Bitacora_Iteraciones!$G$4:$G$173,$A39,Bitacora_Iteraciones!$E$4:$E$173,$B39,Bitacora_Iteraciones!$H$4:$H$173,$C39)</f>
        <v>0</v>
      </c>
    </row>
    <row r="40" spans="1:9" ht="15.75" customHeight="1" x14ac:dyDescent="0.25">
      <c r="A40" s="20" t="s">
        <v>120</v>
      </c>
      <c r="B40" s="20" t="s">
        <v>173</v>
      </c>
      <c r="C40" s="20">
        <v>1</v>
      </c>
      <c r="D40" s="21">
        <f>COUNTIFS(Bitacora_Iteraciones!$G$4:$G$173,$A40,Bitacora_Iteraciones!$E$4:$E$173,$B40,Bitacora_Iteraciones!$H$4:$H$173,$C40)</f>
        <v>0</v>
      </c>
      <c r="E40" s="21" t="str">
        <f>IFERROR(IF(INDEX(Bitacora_Iteraciones!$L$4:$L$173,MATCH($A40&amp;"|"&amp;$B40&amp;"|"&amp;$C40&amp;"|"&amp;1,Bitacora_Iteraciones!$R$4:$R$173,0))="Pasa","Sí","No"),"")</f>
        <v/>
      </c>
      <c r="F40" s="21" t="str">
        <f>IFERROR(IF(INDEX(Bitacora_Iteraciones!$L$4:$L$173,MATCH($A40&amp;"|"&amp;$B40&amp;"|"&amp;$C40&amp;"|"&amp;_xlfn.MAXIFS(Bitacora_Iteraciones!$I$4:$I$173,Bitacora_Iteraciones!$G$4:$G$173,$A40,Bitacora_Iteraciones!$E$4:$E$173,$B40,Bitacora_Iteraciones!$H$4:$H$173,$C40),Bitacora_Iteraciones!$R$4:$R$173,0))="Pasa","Sí","No"),"")</f>
        <v/>
      </c>
      <c r="G40" s="21" t="str">
        <f>IF(COUNTIFS(Bitacora_Iteraciones!$G$4:$G$173,$A40,Bitacora_Iteraciones!$E$4:$E$173,$B40,Bitacora_Iteraciones!$H$4:$H$173,$C40,Bitacora_Iteraciones!$M$4:$M$173,"Falla")&gt;0,"Sí",IF(COUNTIFS(Bitacora_Iteraciones!$G$4:$G$173,$A40,Bitacora_Iteraciones!$E$4:$E$173,$B40,Bitacora_Iteraciones!$H$4:$H$173,$C40)=0,"","No"))</f>
        <v/>
      </c>
      <c r="H40" s="21" t="str">
        <f>IF(COUNTIFS(Bitacora_Iteraciones!$G$4:$G$173,$A40,Bitacora_Iteraciones!$E$4:$E$173,$B40,Bitacora_Iteraciones!$H$4:$H$173,$C40,Bitacora_Iteraciones!$N$4:$N$173,"Sí")&gt;0,"Sí",IF(COUNTIFS(Bitacora_Iteraciones!$G$4:$G$173,$A40,Bitacora_Iteraciones!$E$4:$E$173,$B40,Bitacora_Iteraciones!$H$4:$H$173,$C40)=0,"","No"))</f>
        <v/>
      </c>
      <c r="I40" s="21">
        <f>SUMIFS(Bitacora_Iteraciones!$O$4:$O$173,Bitacora_Iteraciones!$G$4:$G$173,$A40,Bitacora_Iteraciones!$E$4:$E$173,$B40,Bitacora_Iteraciones!$H$4:$H$173,$C40)</f>
        <v>0</v>
      </c>
    </row>
    <row r="41" spans="1:9" ht="15.75" customHeight="1" x14ac:dyDescent="0.25">
      <c r="A41" s="20" t="s">
        <v>120</v>
      </c>
      <c r="B41" s="20" t="s">
        <v>173</v>
      </c>
      <c r="C41" s="20">
        <v>2</v>
      </c>
      <c r="D41" s="21">
        <f>COUNTIFS(Bitacora_Iteraciones!$G$4:$G$173,$A41,Bitacora_Iteraciones!$E$4:$E$173,$B41,Bitacora_Iteraciones!$H$4:$H$173,$C41)</f>
        <v>0</v>
      </c>
      <c r="E41" s="21" t="str">
        <f>IFERROR(IF(INDEX(Bitacora_Iteraciones!$L$4:$L$173,MATCH($A41&amp;"|"&amp;$B41&amp;"|"&amp;$C41&amp;"|"&amp;1,Bitacora_Iteraciones!$R$4:$R$173,0))="Pasa","Sí","No"),"")</f>
        <v/>
      </c>
      <c r="F41" s="21" t="str">
        <f>IFERROR(IF(INDEX(Bitacora_Iteraciones!$L$4:$L$173,MATCH($A41&amp;"|"&amp;$B41&amp;"|"&amp;$C41&amp;"|"&amp;_xlfn.MAXIFS(Bitacora_Iteraciones!$I$4:$I$173,Bitacora_Iteraciones!$G$4:$G$173,$A41,Bitacora_Iteraciones!$E$4:$E$173,$B41,Bitacora_Iteraciones!$H$4:$H$173,$C41),Bitacora_Iteraciones!$R$4:$R$173,0))="Pasa","Sí","No"),"")</f>
        <v/>
      </c>
      <c r="G41" s="21" t="str">
        <f>IF(COUNTIFS(Bitacora_Iteraciones!$G$4:$G$173,$A41,Bitacora_Iteraciones!$E$4:$E$173,$B41,Bitacora_Iteraciones!$H$4:$H$173,$C41,Bitacora_Iteraciones!$M$4:$M$173,"Falla")&gt;0,"Sí",IF(COUNTIFS(Bitacora_Iteraciones!$G$4:$G$173,$A41,Bitacora_Iteraciones!$E$4:$E$173,$B41,Bitacora_Iteraciones!$H$4:$H$173,$C41)=0,"","No"))</f>
        <v/>
      </c>
      <c r="H41" s="21" t="str">
        <f>IF(COUNTIFS(Bitacora_Iteraciones!$G$4:$G$173,$A41,Bitacora_Iteraciones!$E$4:$E$173,$B41,Bitacora_Iteraciones!$H$4:$H$173,$C41,Bitacora_Iteraciones!$N$4:$N$173,"Sí")&gt;0,"Sí",IF(COUNTIFS(Bitacora_Iteraciones!$G$4:$G$173,$A41,Bitacora_Iteraciones!$E$4:$E$173,$B41,Bitacora_Iteraciones!$H$4:$H$173,$C41)=0,"","No"))</f>
        <v/>
      </c>
      <c r="I41" s="21">
        <f>SUMIFS(Bitacora_Iteraciones!$O$4:$O$173,Bitacora_Iteraciones!$G$4:$G$173,$A41,Bitacora_Iteraciones!$E$4:$E$173,$B41,Bitacora_Iteraciones!$H$4:$H$173,$C41)</f>
        <v>0</v>
      </c>
    </row>
    <row r="42" spans="1:9" ht="15.75" customHeight="1" x14ac:dyDescent="0.25">
      <c r="A42" s="20" t="s">
        <v>120</v>
      </c>
      <c r="B42" s="20" t="s">
        <v>173</v>
      </c>
      <c r="C42" s="20">
        <v>3</v>
      </c>
      <c r="D42" s="21">
        <f>COUNTIFS(Bitacora_Iteraciones!$G$4:$G$173,$A42,Bitacora_Iteraciones!$E$4:$E$173,$B42,Bitacora_Iteraciones!$H$4:$H$173,$C42)</f>
        <v>0</v>
      </c>
      <c r="E42" s="21" t="str">
        <f>IFERROR(IF(INDEX(Bitacora_Iteraciones!$L$4:$L$173,MATCH($A42&amp;"|"&amp;$B42&amp;"|"&amp;$C42&amp;"|"&amp;1,Bitacora_Iteraciones!$R$4:$R$173,0))="Pasa","Sí","No"),"")</f>
        <v/>
      </c>
      <c r="F42" s="21" t="str">
        <f>IFERROR(IF(INDEX(Bitacora_Iteraciones!$L$4:$L$173,MATCH($A42&amp;"|"&amp;$B42&amp;"|"&amp;$C42&amp;"|"&amp;_xlfn.MAXIFS(Bitacora_Iteraciones!$I$4:$I$173,Bitacora_Iteraciones!$G$4:$G$173,$A42,Bitacora_Iteraciones!$E$4:$E$173,$B42,Bitacora_Iteraciones!$H$4:$H$173,$C42),Bitacora_Iteraciones!$R$4:$R$173,0))="Pasa","Sí","No"),"")</f>
        <v/>
      </c>
      <c r="G42" s="21" t="str">
        <f>IF(COUNTIFS(Bitacora_Iteraciones!$G$4:$G$173,$A42,Bitacora_Iteraciones!$E$4:$E$173,$B42,Bitacora_Iteraciones!$H$4:$H$173,$C42,Bitacora_Iteraciones!$M$4:$M$173,"Falla")&gt;0,"Sí",IF(COUNTIFS(Bitacora_Iteraciones!$G$4:$G$173,$A42,Bitacora_Iteraciones!$E$4:$E$173,$B42,Bitacora_Iteraciones!$H$4:$H$173,$C42)=0,"","No"))</f>
        <v/>
      </c>
      <c r="H42" s="21" t="str">
        <f>IF(COUNTIFS(Bitacora_Iteraciones!$G$4:$G$173,$A42,Bitacora_Iteraciones!$E$4:$E$173,$B42,Bitacora_Iteraciones!$H$4:$H$173,$C42,Bitacora_Iteraciones!$N$4:$N$173,"Sí")&gt;0,"Sí",IF(COUNTIFS(Bitacora_Iteraciones!$G$4:$G$173,$A42,Bitacora_Iteraciones!$E$4:$E$173,$B42,Bitacora_Iteraciones!$H$4:$H$173,$C42)=0,"","No"))</f>
        <v/>
      </c>
      <c r="I42" s="21">
        <f>SUMIFS(Bitacora_Iteraciones!$O$4:$O$173,Bitacora_Iteraciones!$G$4:$G$173,$A42,Bitacora_Iteraciones!$E$4:$E$173,$B42,Bitacora_Iteraciones!$H$4:$H$173,$C42)</f>
        <v>0</v>
      </c>
    </row>
    <row r="43" spans="1:9" ht="15.75" customHeight="1" x14ac:dyDescent="0.25">
      <c r="A43" s="20" t="s">
        <v>120</v>
      </c>
      <c r="B43" s="20" t="s">
        <v>188</v>
      </c>
      <c r="C43" s="20">
        <v>1</v>
      </c>
      <c r="D43" s="21">
        <f>COUNTIFS(Bitacora_Iteraciones!$G$4:$G$173,$A43,Bitacora_Iteraciones!$E$4:$E$173,$B43,Bitacora_Iteraciones!$H$4:$H$173,$C43)</f>
        <v>0</v>
      </c>
      <c r="E43" s="21" t="str">
        <f>IFERROR(IF(INDEX(Bitacora_Iteraciones!$L$4:$L$173,MATCH($A43&amp;"|"&amp;$B43&amp;"|"&amp;$C43&amp;"|"&amp;1,Bitacora_Iteraciones!$R$4:$R$173,0))="Pasa","Sí","No"),"")</f>
        <v/>
      </c>
      <c r="F43" s="21" t="str">
        <f>IFERROR(IF(INDEX(Bitacora_Iteraciones!$L$4:$L$173,MATCH($A43&amp;"|"&amp;$B43&amp;"|"&amp;$C43&amp;"|"&amp;_xlfn.MAXIFS(Bitacora_Iteraciones!$I$4:$I$173,Bitacora_Iteraciones!$G$4:$G$173,$A43,Bitacora_Iteraciones!$E$4:$E$173,$B43,Bitacora_Iteraciones!$H$4:$H$173,$C43),Bitacora_Iteraciones!$R$4:$R$173,0))="Pasa","Sí","No"),"")</f>
        <v/>
      </c>
      <c r="G43" s="21" t="str">
        <f>IF(COUNTIFS(Bitacora_Iteraciones!$G$4:$G$173,$A43,Bitacora_Iteraciones!$E$4:$E$173,$B43,Bitacora_Iteraciones!$H$4:$H$173,$C43,Bitacora_Iteraciones!$M$4:$M$173,"Falla")&gt;0,"Sí",IF(COUNTIFS(Bitacora_Iteraciones!$G$4:$G$173,$A43,Bitacora_Iteraciones!$E$4:$E$173,$B43,Bitacora_Iteraciones!$H$4:$H$173,$C43)=0,"","No"))</f>
        <v/>
      </c>
      <c r="H43" s="21" t="str">
        <f>IF(COUNTIFS(Bitacora_Iteraciones!$G$4:$G$173,$A43,Bitacora_Iteraciones!$E$4:$E$173,$B43,Bitacora_Iteraciones!$H$4:$H$173,$C43,Bitacora_Iteraciones!$N$4:$N$173,"Sí")&gt;0,"Sí",IF(COUNTIFS(Bitacora_Iteraciones!$G$4:$G$173,$A43,Bitacora_Iteraciones!$E$4:$E$173,$B43,Bitacora_Iteraciones!$H$4:$H$173,$C43)=0,"","No"))</f>
        <v/>
      </c>
      <c r="I43" s="21">
        <f>SUMIFS(Bitacora_Iteraciones!$O$4:$O$173,Bitacora_Iteraciones!$G$4:$G$173,$A43,Bitacora_Iteraciones!$E$4:$E$173,$B43,Bitacora_Iteraciones!$H$4:$H$173,$C43)</f>
        <v>0</v>
      </c>
    </row>
    <row r="44" spans="1:9" ht="15.75" customHeight="1" x14ac:dyDescent="0.25">
      <c r="A44" s="20" t="s">
        <v>120</v>
      </c>
      <c r="B44" s="20" t="s">
        <v>188</v>
      </c>
      <c r="C44" s="20">
        <v>2</v>
      </c>
      <c r="D44" s="21">
        <f>COUNTIFS(Bitacora_Iteraciones!$G$4:$G$173,$A44,Bitacora_Iteraciones!$E$4:$E$173,$B44,Bitacora_Iteraciones!$H$4:$H$173,$C44)</f>
        <v>0</v>
      </c>
      <c r="E44" s="21" t="str">
        <f>IFERROR(IF(INDEX(Bitacora_Iteraciones!$L$4:$L$173,MATCH($A44&amp;"|"&amp;$B44&amp;"|"&amp;$C44&amp;"|"&amp;1,Bitacora_Iteraciones!$R$4:$R$173,0))="Pasa","Sí","No"),"")</f>
        <v/>
      </c>
      <c r="F44" s="21" t="str">
        <f>IFERROR(IF(INDEX(Bitacora_Iteraciones!$L$4:$L$173,MATCH($A44&amp;"|"&amp;$B44&amp;"|"&amp;$C44&amp;"|"&amp;_xlfn.MAXIFS(Bitacora_Iteraciones!$I$4:$I$173,Bitacora_Iteraciones!$G$4:$G$173,$A44,Bitacora_Iteraciones!$E$4:$E$173,$B44,Bitacora_Iteraciones!$H$4:$H$173,$C44),Bitacora_Iteraciones!$R$4:$R$173,0))="Pasa","Sí","No"),"")</f>
        <v/>
      </c>
      <c r="G44" s="21" t="str">
        <f>IF(COUNTIFS(Bitacora_Iteraciones!$G$4:$G$173,$A44,Bitacora_Iteraciones!$E$4:$E$173,$B44,Bitacora_Iteraciones!$H$4:$H$173,$C44,Bitacora_Iteraciones!$M$4:$M$173,"Falla")&gt;0,"Sí",IF(COUNTIFS(Bitacora_Iteraciones!$G$4:$G$173,$A44,Bitacora_Iteraciones!$E$4:$E$173,$B44,Bitacora_Iteraciones!$H$4:$H$173,$C44)=0,"","No"))</f>
        <v/>
      </c>
      <c r="H44" s="21" t="str">
        <f>IF(COUNTIFS(Bitacora_Iteraciones!$G$4:$G$173,$A44,Bitacora_Iteraciones!$E$4:$E$173,$B44,Bitacora_Iteraciones!$H$4:$H$173,$C44,Bitacora_Iteraciones!$N$4:$N$173,"Sí")&gt;0,"Sí",IF(COUNTIFS(Bitacora_Iteraciones!$G$4:$G$173,$A44,Bitacora_Iteraciones!$E$4:$E$173,$B44,Bitacora_Iteraciones!$H$4:$H$173,$C44)=0,"","No"))</f>
        <v/>
      </c>
      <c r="I44" s="21">
        <f>SUMIFS(Bitacora_Iteraciones!$O$4:$O$173,Bitacora_Iteraciones!$G$4:$G$173,$A44,Bitacora_Iteraciones!$E$4:$E$173,$B44,Bitacora_Iteraciones!$H$4:$H$173,$C44)</f>
        <v>0</v>
      </c>
    </row>
    <row r="45" spans="1:9" ht="15.75" customHeight="1" x14ac:dyDescent="0.25">
      <c r="A45" s="20" t="s">
        <v>120</v>
      </c>
      <c r="B45" s="20" t="s">
        <v>188</v>
      </c>
      <c r="C45" s="20">
        <v>3</v>
      </c>
      <c r="D45" s="21">
        <f>COUNTIFS(Bitacora_Iteraciones!$G$4:$G$173,$A45,Bitacora_Iteraciones!$E$4:$E$173,$B45,Bitacora_Iteraciones!$H$4:$H$173,$C45)</f>
        <v>0</v>
      </c>
      <c r="E45" s="21" t="str">
        <f>IFERROR(IF(INDEX(Bitacora_Iteraciones!$L$4:$L$173,MATCH($A45&amp;"|"&amp;$B45&amp;"|"&amp;$C45&amp;"|"&amp;1,Bitacora_Iteraciones!$R$4:$R$173,0))="Pasa","Sí","No"),"")</f>
        <v/>
      </c>
      <c r="F45" s="21" t="str">
        <f>IFERROR(IF(INDEX(Bitacora_Iteraciones!$L$4:$L$173,MATCH($A45&amp;"|"&amp;$B45&amp;"|"&amp;$C45&amp;"|"&amp;_xlfn.MAXIFS(Bitacora_Iteraciones!$I$4:$I$173,Bitacora_Iteraciones!$G$4:$G$173,$A45,Bitacora_Iteraciones!$E$4:$E$173,$B45,Bitacora_Iteraciones!$H$4:$H$173,$C45),Bitacora_Iteraciones!$R$4:$R$173,0))="Pasa","Sí","No"),"")</f>
        <v/>
      </c>
      <c r="G45" s="21" t="str">
        <f>IF(COUNTIFS(Bitacora_Iteraciones!$G$4:$G$173,$A45,Bitacora_Iteraciones!$E$4:$E$173,$B45,Bitacora_Iteraciones!$H$4:$H$173,$C45,Bitacora_Iteraciones!$M$4:$M$173,"Falla")&gt;0,"Sí",IF(COUNTIFS(Bitacora_Iteraciones!$G$4:$G$173,$A45,Bitacora_Iteraciones!$E$4:$E$173,$B45,Bitacora_Iteraciones!$H$4:$H$173,$C45)=0,"","No"))</f>
        <v/>
      </c>
      <c r="H45" s="21" t="str">
        <f>IF(COUNTIFS(Bitacora_Iteraciones!$G$4:$G$173,$A45,Bitacora_Iteraciones!$E$4:$E$173,$B45,Bitacora_Iteraciones!$H$4:$H$173,$C45,Bitacora_Iteraciones!$N$4:$N$173,"Sí")&gt;0,"Sí",IF(COUNTIFS(Bitacora_Iteraciones!$G$4:$G$173,$A45,Bitacora_Iteraciones!$E$4:$E$173,$B45,Bitacora_Iteraciones!$H$4:$H$173,$C45)=0,"","No"))</f>
        <v/>
      </c>
      <c r="I45" s="21">
        <f>SUMIFS(Bitacora_Iteraciones!$O$4:$O$173,Bitacora_Iteraciones!$G$4:$G$173,$A45,Bitacora_Iteraciones!$E$4:$E$173,$B45,Bitacora_Iteraciones!$H$4:$H$173,$C45)</f>
        <v>0</v>
      </c>
    </row>
    <row r="46" spans="1:9" ht="15.75" customHeight="1" x14ac:dyDescent="0.25">
      <c r="A46" s="20" t="s">
        <v>124</v>
      </c>
      <c r="B46" s="20" t="s">
        <v>173</v>
      </c>
      <c r="C46" s="20">
        <v>1</v>
      </c>
      <c r="D46" s="21">
        <f>COUNTIFS(Bitacora_Iteraciones!$G$4:$G$173,$A46,Bitacora_Iteraciones!$E$4:$E$173,$B46,Bitacora_Iteraciones!$H$4:$H$173,$C46)</f>
        <v>0</v>
      </c>
      <c r="E46" s="21" t="str">
        <f>IFERROR(IF(INDEX(Bitacora_Iteraciones!$L$4:$L$173,MATCH($A46&amp;"|"&amp;$B46&amp;"|"&amp;$C46&amp;"|"&amp;1,Bitacora_Iteraciones!$R$4:$R$173,0))="Pasa","Sí","No"),"")</f>
        <v/>
      </c>
      <c r="F46" s="21" t="str">
        <f>IFERROR(IF(INDEX(Bitacora_Iteraciones!$L$4:$L$173,MATCH($A46&amp;"|"&amp;$B46&amp;"|"&amp;$C46&amp;"|"&amp;_xlfn.MAXIFS(Bitacora_Iteraciones!$I$4:$I$173,Bitacora_Iteraciones!$G$4:$G$173,$A46,Bitacora_Iteraciones!$E$4:$E$173,$B46,Bitacora_Iteraciones!$H$4:$H$173,$C46),Bitacora_Iteraciones!$R$4:$R$173,0))="Pasa","Sí","No"),"")</f>
        <v/>
      </c>
      <c r="G46" s="21" t="str">
        <f>IF(COUNTIFS(Bitacora_Iteraciones!$G$4:$G$173,$A46,Bitacora_Iteraciones!$E$4:$E$173,$B46,Bitacora_Iteraciones!$H$4:$H$173,$C46,Bitacora_Iteraciones!$M$4:$M$173,"Falla")&gt;0,"Sí",IF(COUNTIFS(Bitacora_Iteraciones!$G$4:$G$173,$A46,Bitacora_Iteraciones!$E$4:$E$173,$B46,Bitacora_Iteraciones!$H$4:$H$173,$C46)=0,"","No"))</f>
        <v/>
      </c>
      <c r="H46" s="21" t="str">
        <f>IF(COUNTIFS(Bitacora_Iteraciones!$G$4:$G$173,$A46,Bitacora_Iteraciones!$E$4:$E$173,$B46,Bitacora_Iteraciones!$H$4:$H$173,$C46,Bitacora_Iteraciones!$N$4:$N$173,"Sí")&gt;0,"Sí",IF(COUNTIFS(Bitacora_Iteraciones!$G$4:$G$173,$A46,Bitacora_Iteraciones!$E$4:$E$173,$B46,Bitacora_Iteraciones!$H$4:$H$173,$C46)=0,"","No"))</f>
        <v/>
      </c>
      <c r="I46" s="21">
        <f>SUMIFS(Bitacora_Iteraciones!$O$4:$O$173,Bitacora_Iteraciones!$G$4:$G$173,$A46,Bitacora_Iteraciones!$E$4:$E$173,$B46,Bitacora_Iteraciones!$H$4:$H$173,$C46)</f>
        <v>0</v>
      </c>
    </row>
    <row r="47" spans="1:9" ht="15.75" customHeight="1" x14ac:dyDescent="0.25">
      <c r="A47" s="20" t="s">
        <v>124</v>
      </c>
      <c r="B47" s="20" t="s">
        <v>173</v>
      </c>
      <c r="C47" s="20">
        <v>2</v>
      </c>
      <c r="D47" s="21">
        <f>COUNTIFS(Bitacora_Iteraciones!$G$4:$G$173,$A47,Bitacora_Iteraciones!$E$4:$E$173,$B47,Bitacora_Iteraciones!$H$4:$H$173,$C47)</f>
        <v>0</v>
      </c>
      <c r="E47" s="21" t="str">
        <f>IFERROR(IF(INDEX(Bitacora_Iteraciones!$L$4:$L$173,MATCH($A47&amp;"|"&amp;$B47&amp;"|"&amp;$C47&amp;"|"&amp;1,Bitacora_Iteraciones!$R$4:$R$173,0))="Pasa","Sí","No"),"")</f>
        <v/>
      </c>
      <c r="F47" s="21" t="str">
        <f>IFERROR(IF(INDEX(Bitacora_Iteraciones!$L$4:$L$173,MATCH($A47&amp;"|"&amp;$B47&amp;"|"&amp;$C47&amp;"|"&amp;_xlfn.MAXIFS(Bitacora_Iteraciones!$I$4:$I$173,Bitacora_Iteraciones!$G$4:$G$173,$A47,Bitacora_Iteraciones!$E$4:$E$173,$B47,Bitacora_Iteraciones!$H$4:$H$173,$C47),Bitacora_Iteraciones!$R$4:$R$173,0))="Pasa","Sí","No"),"")</f>
        <v/>
      </c>
      <c r="G47" s="21" t="str">
        <f>IF(COUNTIFS(Bitacora_Iteraciones!$G$4:$G$173,$A47,Bitacora_Iteraciones!$E$4:$E$173,$B47,Bitacora_Iteraciones!$H$4:$H$173,$C47,Bitacora_Iteraciones!$M$4:$M$173,"Falla")&gt;0,"Sí",IF(COUNTIFS(Bitacora_Iteraciones!$G$4:$G$173,$A47,Bitacora_Iteraciones!$E$4:$E$173,$B47,Bitacora_Iteraciones!$H$4:$H$173,$C47)=0,"","No"))</f>
        <v/>
      </c>
      <c r="H47" s="21" t="str">
        <f>IF(COUNTIFS(Bitacora_Iteraciones!$G$4:$G$173,$A47,Bitacora_Iteraciones!$E$4:$E$173,$B47,Bitacora_Iteraciones!$H$4:$H$173,$C47,Bitacora_Iteraciones!$N$4:$N$173,"Sí")&gt;0,"Sí",IF(COUNTIFS(Bitacora_Iteraciones!$G$4:$G$173,$A47,Bitacora_Iteraciones!$E$4:$E$173,$B47,Bitacora_Iteraciones!$H$4:$H$173,$C47)=0,"","No"))</f>
        <v/>
      </c>
      <c r="I47" s="21">
        <f>SUMIFS(Bitacora_Iteraciones!$O$4:$O$173,Bitacora_Iteraciones!$G$4:$G$173,$A47,Bitacora_Iteraciones!$E$4:$E$173,$B47,Bitacora_Iteraciones!$H$4:$H$173,$C47)</f>
        <v>0</v>
      </c>
    </row>
    <row r="48" spans="1:9" ht="15.75" customHeight="1" x14ac:dyDescent="0.25">
      <c r="A48" s="20" t="s">
        <v>124</v>
      </c>
      <c r="B48" s="20" t="s">
        <v>173</v>
      </c>
      <c r="C48" s="20">
        <v>3</v>
      </c>
      <c r="D48" s="21">
        <f>COUNTIFS(Bitacora_Iteraciones!$G$4:$G$173,$A48,Bitacora_Iteraciones!$E$4:$E$173,$B48,Bitacora_Iteraciones!$H$4:$H$173,$C48)</f>
        <v>0</v>
      </c>
      <c r="E48" s="21" t="str">
        <f>IFERROR(IF(INDEX(Bitacora_Iteraciones!$L$4:$L$173,MATCH($A48&amp;"|"&amp;$B48&amp;"|"&amp;$C48&amp;"|"&amp;1,Bitacora_Iteraciones!$R$4:$R$173,0))="Pasa","Sí","No"),"")</f>
        <v/>
      </c>
      <c r="F48" s="21" t="str">
        <f>IFERROR(IF(INDEX(Bitacora_Iteraciones!$L$4:$L$173,MATCH($A48&amp;"|"&amp;$B48&amp;"|"&amp;$C48&amp;"|"&amp;_xlfn.MAXIFS(Bitacora_Iteraciones!$I$4:$I$173,Bitacora_Iteraciones!$G$4:$G$173,$A48,Bitacora_Iteraciones!$E$4:$E$173,$B48,Bitacora_Iteraciones!$H$4:$H$173,$C48),Bitacora_Iteraciones!$R$4:$R$173,0))="Pasa","Sí","No"),"")</f>
        <v/>
      </c>
      <c r="G48" s="21" t="str">
        <f>IF(COUNTIFS(Bitacora_Iteraciones!$G$4:$G$173,$A48,Bitacora_Iteraciones!$E$4:$E$173,$B48,Bitacora_Iteraciones!$H$4:$H$173,$C48,Bitacora_Iteraciones!$M$4:$M$173,"Falla")&gt;0,"Sí",IF(COUNTIFS(Bitacora_Iteraciones!$G$4:$G$173,$A48,Bitacora_Iteraciones!$E$4:$E$173,$B48,Bitacora_Iteraciones!$H$4:$H$173,$C48)=0,"","No"))</f>
        <v/>
      </c>
      <c r="H48" s="21" t="str">
        <f>IF(COUNTIFS(Bitacora_Iteraciones!$G$4:$G$173,$A48,Bitacora_Iteraciones!$E$4:$E$173,$B48,Bitacora_Iteraciones!$H$4:$H$173,$C48,Bitacora_Iteraciones!$N$4:$N$173,"Sí")&gt;0,"Sí",IF(COUNTIFS(Bitacora_Iteraciones!$G$4:$G$173,$A48,Bitacora_Iteraciones!$E$4:$E$173,$B48,Bitacora_Iteraciones!$H$4:$H$173,$C48)=0,"","No"))</f>
        <v/>
      </c>
      <c r="I48" s="21">
        <f>SUMIFS(Bitacora_Iteraciones!$O$4:$O$173,Bitacora_Iteraciones!$G$4:$G$173,$A48,Bitacora_Iteraciones!$E$4:$E$173,$B48,Bitacora_Iteraciones!$H$4:$H$173,$C48)</f>
        <v>0</v>
      </c>
    </row>
    <row r="49" spans="1:9" ht="15.75" customHeight="1" x14ac:dyDescent="0.25">
      <c r="A49" s="20" t="s">
        <v>124</v>
      </c>
      <c r="B49" s="20" t="s">
        <v>188</v>
      </c>
      <c r="C49" s="20">
        <v>1</v>
      </c>
      <c r="D49" s="21">
        <f>COUNTIFS(Bitacora_Iteraciones!$G$4:$G$173,$A49,Bitacora_Iteraciones!$E$4:$E$173,$B49,Bitacora_Iteraciones!$H$4:$H$173,$C49)</f>
        <v>0</v>
      </c>
      <c r="E49" s="21" t="str">
        <f>IFERROR(IF(INDEX(Bitacora_Iteraciones!$L$4:$L$173,MATCH($A49&amp;"|"&amp;$B49&amp;"|"&amp;$C49&amp;"|"&amp;1,Bitacora_Iteraciones!$R$4:$R$173,0))="Pasa","Sí","No"),"")</f>
        <v/>
      </c>
      <c r="F49" s="21" t="str">
        <f>IFERROR(IF(INDEX(Bitacora_Iteraciones!$L$4:$L$173,MATCH($A49&amp;"|"&amp;$B49&amp;"|"&amp;$C49&amp;"|"&amp;_xlfn.MAXIFS(Bitacora_Iteraciones!$I$4:$I$173,Bitacora_Iteraciones!$G$4:$G$173,$A49,Bitacora_Iteraciones!$E$4:$E$173,$B49,Bitacora_Iteraciones!$H$4:$H$173,$C49),Bitacora_Iteraciones!$R$4:$R$173,0))="Pasa","Sí","No"),"")</f>
        <v/>
      </c>
      <c r="G49" s="21" t="str">
        <f>IF(COUNTIFS(Bitacora_Iteraciones!$G$4:$G$173,$A49,Bitacora_Iteraciones!$E$4:$E$173,$B49,Bitacora_Iteraciones!$H$4:$H$173,$C49,Bitacora_Iteraciones!$M$4:$M$173,"Falla")&gt;0,"Sí",IF(COUNTIFS(Bitacora_Iteraciones!$G$4:$G$173,$A49,Bitacora_Iteraciones!$E$4:$E$173,$B49,Bitacora_Iteraciones!$H$4:$H$173,$C49)=0,"","No"))</f>
        <v/>
      </c>
      <c r="H49" s="21" t="str">
        <f>IF(COUNTIFS(Bitacora_Iteraciones!$G$4:$G$173,$A49,Bitacora_Iteraciones!$E$4:$E$173,$B49,Bitacora_Iteraciones!$H$4:$H$173,$C49,Bitacora_Iteraciones!$N$4:$N$173,"Sí")&gt;0,"Sí",IF(COUNTIFS(Bitacora_Iteraciones!$G$4:$G$173,$A49,Bitacora_Iteraciones!$E$4:$E$173,$B49,Bitacora_Iteraciones!$H$4:$H$173,$C49)=0,"","No"))</f>
        <v/>
      </c>
      <c r="I49" s="21">
        <f>SUMIFS(Bitacora_Iteraciones!$O$4:$O$173,Bitacora_Iteraciones!$G$4:$G$173,$A49,Bitacora_Iteraciones!$E$4:$E$173,$B49,Bitacora_Iteraciones!$H$4:$H$173,$C49)</f>
        <v>0</v>
      </c>
    </row>
    <row r="50" spans="1:9" ht="15.75" customHeight="1" x14ac:dyDescent="0.25">
      <c r="A50" s="20" t="s">
        <v>124</v>
      </c>
      <c r="B50" s="20" t="s">
        <v>188</v>
      </c>
      <c r="C50" s="20">
        <v>2</v>
      </c>
      <c r="D50" s="21">
        <f>COUNTIFS(Bitacora_Iteraciones!$G$4:$G$173,$A50,Bitacora_Iteraciones!$E$4:$E$173,$B50,Bitacora_Iteraciones!$H$4:$H$173,$C50)</f>
        <v>0</v>
      </c>
      <c r="E50" s="21" t="str">
        <f>IFERROR(IF(INDEX(Bitacora_Iteraciones!$L$4:$L$173,MATCH($A50&amp;"|"&amp;$B50&amp;"|"&amp;$C50&amp;"|"&amp;1,Bitacora_Iteraciones!$R$4:$R$173,0))="Pasa","Sí","No"),"")</f>
        <v/>
      </c>
      <c r="F50" s="21" t="str">
        <f>IFERROR(IF(INDEX(Bitacora_Iteraciones!$L$4:$L$173,MATCH($A50&amp;"|"&amp;$B50&amp;"|"&amp;$C50&amp;"|"&amp;_xlfn.MAXIFS(Bitacora_Iteraciones!$I$4:$I$173,Bitacora_Iteraciones!$G$4:$G$173,$A50,Bitacora_Iteraciones!$E$4:$E$173,$B50,Bitacora_Iteraciones!$H$4:$H$173,$C50),Bitacora_Iteraciones!$R$4:$R$173,0))="Pasa","Sí","No"),"")</f>
        <v/>
      </c>
      <c r="G50" s="21" t="str">
        <f>IF(COUNTIFS(Bitacora_Iteraciones!$G$4:$G$173,$A50,Bitacora_Iteraciones!$E$4:$E$173,$B50,Bitacora_Iteraciones!$H$4:$H$173,$C50,Bitacora_Iteraciones!$M$4:$M$173,"Falla")&gt;0,"Sí",IF(COUNTIFS(Bitacora_Iteraciones!$G$4:$G$173,$A50,Bitacora_Iteraciones!$E$4:$E$173,$B50,Bitacora_Iteraciones!$H$4:$H$173,$C50)=0,"","No"))</f>
        <v/>
      </c>
      <c r="H50" s="21" t="str">
        <f>IF(COUNTIFS(Bitacora_Iteraciones!$G$4:$G$173,$A50,Bitacora_Iteraciones!$E$4:$E$173,$B50,Bitacora_Iteraciones!$H$4:$H$173,$C50,Bitacora_Iteraciones!$N$4:$N$173,"Sí")&gt;0,"Sí",IF(COUNTIFS(Bitacora_Iteraciones!$G$4:$G$173,$A50,Bitacora_Iteraciones!$E$4:$E$173,$B50,Bitacora_Iteraciones!$H$4:$H$173,$C50)=0,"","No"))</f>
        <v/>
      </c>
      <c r="I50" s="21">
        <f>SUMIFS(Bitacora_Iteraciones!$O$4:$O$173,Bitacora_Iteraciones!$G$4:$G$173,$A50,Bitacora_Iteraciones!$E$4:$E$173,$B50,Bitacora_Iteraciones!$H$4:$H$173,$C50)</f>
        <v>0</v>
      </c>
    </row>
    <row r="51" spans="1:9" ht="15.75" customHeight="1" x14ac:dyDescent="0.25">
      <c r="A51" s="20" t="s">
        <v>124</v>
      </c>
      <c r="B51" s="20" t="s">
        <v>188</v>
      </c>
      <c r="C51" s="20">
        <v>3</v>
      </c>
      <c r="D51" s="21">
        <f>COUNTIFS(Bitacora_Iteraciones!$G$4:$G$173,$A51,Bitacora_Iteraciones!$E$4:$E$173,$B51,Bitacora_Iteraciones!$H$4:$H$173,$C51)</f>
        <v>0</v>
      </c>
      <c r="E51" s="21" t="str">
        <f>IFERROR(IF(INDEX(Bitacora_Iteraciones!$L$4:$L$173,MATCH($A51&amp;"|"&amp;$B51&amp;"|"&amp;$C51&amp;"|"&amp;1,Bitacora_Iteraciones!$R$4:$R$173,0))="Pasa","Sí","No"),"")</f>
        <v/>
      </c>
      <c r="F51" s="21" t="str">
        <f>IFERROR(IF(INDEX(Bitacora_Iteraciones!$L$4:$L$173,MATCH($A51&amp;"|"&amp;$B51&amp;"|"&amp;$C51&amp;"|"&amp;_xlfn.MAXIFS(Bitacora_Iteraciones!$I$4:$I$173,Bitacora_Iteraciones!$G$4:$G$173,$A51,Bitacora_Iteraciones!$E$4:$E$173,$B51,Bitacora_Iteraciones!$H$4:$H$173,$C51),Bitacora_Iteraciones!$R$4:$R$173,0))="Pasa","Sí","No"),"")</f>
        <v/>
      </c>
      <c r="G51" s="21" t="str">
        <f>IF(COUNTIFS(Bitacora_Iteraciones!$G$4:$G$173,$A51,Bitacora_Iteraciones!$E$4:$E$173,$B51,Bitacora_Iteraciones!$H$4:$H$173,$C51,Bitacora_Iteraciones!$M$4:$M$173,"Falla")&gt;0,"Sí",IF(COUNTIFS(Bitacora_Iteraciones!$G$4:$G$173,$A51,Bitacora_Iteraciones!$E$4:$E$173,$B51,Bitacora_Iteraciones!$H$4:$H$173,$C51)=0,"","No"))</f>
        <v/>
      </c>
      <c r="H51" s="21" t="str">
        <f>IF(COUNTIFS(Bitacora_Iteraciones!$G$4:$G$173,$A51,Bitacora_Iteraciones!$E$4:$E$173,$B51,Bitacora_Iteraciones!$H$4:$H$173,$C51,Bitacora_Iteraciones!$N$4:$N$173,"Sí")&gt;0,"Sí",IF(COUNTIFS(Bitacora_Iteraciones!$G$4:$G$173,$A51,Bitacora_Iteraciones!$E$4:$E$173,$B51,Bitacora_Iteraciones!$H$4:$H$173,$C51)=0,"","No"))</f>
        <v/>
      </c>
      <c r="I51" s="21">
        <f>SUMIFS(Bitacora_Iteraciones!$O$4:$O$173,Bitacora_Iteraciones!$G$4:$G$173,$A51,Bitacora_Iteraciones!$E$4:$E$173,$B51,Bitacora_Iteraciones!$H$4:$H$173,$C51)</f>
        <v>0</v>
      </c>
    </row>
    <row r="52" spans="1:9" ht="15.75" customHeight="1" x14ac:dyDescent="0.25">
      <c r="A52" s="20" t="s">
        <v>128</v>
      </c>
      <c r="B52" s="20" t="s">
        <v>173</v>
      </c>
      <c r="C52" s="20">
        <v>1</v>
      </c>
      <c r="D52" s="21">
        <f>COUNTIFS(Bitacora_Iteraciones!$G$4:$G$173,$A52,Bitacora_Iteraciones!$E$4:$E$173,$B52,Bitacora_Iteraciones!$H$4:$H$173,$C52)</f>
        <v>0</v>
      </c>
      <c r="E52" s="21" t="str">
        <f>IFERROR(IF(INDEX(Bitacora_Iteraciones!$L$4:$L$173,MATCH($A52&amp;"|"&amp;$B52&amp;"|"&amp;$C52&amp;"|"&amp;1,Bitacora_Iteraciones!$R$4:$R$173,0))="Pasa","Sí","No"),"")</f>
        <v/>
      </c>
      <c r="F52" s="21" t="str">
        <f>IFERROR(IF(INDEX(Bitacora_Iteraciones!$L$4:$L$173,MATCH($A52&amp;"|"&amp;$B52&amp;"|"&amp;$C52&amp;"|"&amp;_xlfn.MAXIFS(Bitacora_Iteraciones!$I$4:$I$173,Bitacora_Iteraciones!$G$4:$G$173,$A52,Bitacora_Iteraciones!$E$4:$E$173,$B52,Bitacora_Iteraciones!$H$4:$H$173,$C52),Bitacora_Iteraciones!$R$4:$R$173,0))="Pasa","Sí","No"),"")</f>
        <v/>
      </c>
      <c r="G52" s="21" t="str">
        <f>IF(COUNTIFS(Bitacora_Iteraciones!$G$4:$G$173,$A52,Bitacora_Iteraciones!$E$4:$E$173,$B52,Bitacora_Iteraciones!$H$4:$H$173,$C52,Bitacora_Iteraciones!$M$4:$M$173,"Falla")&gt;0,"Sí",IF(COUNTIFS(Bitacora_Iteraciones!$G$4:$G$173,$A52,Bitacora_Iteraciones!$E$4:$E$173,$B52,Bitacora_Iteraciones!$H$4:$H$173,$C52)=0,"","No"))</f>
        <v/>
      </c>
      <c r="H52" s="21" t="str">
        <f>IF(COUNTIFS(Bitacora_Iteraciones!$G$4:$G$173,$A52,Bitacora_Iteraciones!$E$4:$E$173,$B52,Bitacora_Iteraciones!$H$4:$H$173,$C52,Bitacora_Iteraciones!$N$4:$N$173,"Sí")&gt;0,"Sí",IF(COUNTIFS(Bitacora_Iteraciones!$G$4:$G$173,$A52,Bitacora_Iteraciones!$E$4:$E$173,$B52,Bitacora_Iteraciones!$H$4:$H$173,$C52)=0,"","No"))</f>
        <v/>
      </c>
      <c r="I52" s="21">
        <f>SUMIFS(Bitacora_Iteraciones!$O$4:$O$173,Bitacora_Iteraciones!$G$4:$G$173,$A52,Bitacora_Iteraciones!$E$4:$E$173,$B52,Bitacora_Iteraciones!$H$4:$H$173,$C52)</f>
        <v>0</v>
      </c>
    </row>
    <row r="53" spans="1:9" ht="15.75" customHeight="1" x14ac:dyDescent="0.25">
      <c r="A53" s="20" t="s">
        <v>128</v>
      </c>
      <c r="B53" s="20" t="s">
        <v>173</v>
      </c>
      <c r="C53" s="20">
        <v>2</v>
      </c>
      <c r="D53" s="21">
        <f>COUNTIFS(Bitacora_Iteraciones!$G$4:$G$173,$A53,Bitacora_Iteraciones!$E$4:$E$173,$B53,Bitacora_Iteraciones!$H$4:$H$173,$C53)</f>
        <v>0</v>
      </c>
      <c r="E53" s="21" t="str">
        <f>IFERROR(IF(INDEX(Bitacora_Iteraciones!$L$4:$L$173,MATCH($A53&amp;"|"&amp;$B53&amp;"|"&amp;$C53&amp;"|"&amp;1,Bitacora_Iteraciones!$R$4:$R$173,0))="Pasa","Sí","No"),"")</f>
        <v/>
      </c>
      <c r="F53" s="21" t="str">
        <f>IFERROR(IF(INDEX(Bitacora_Iteraciones!$L$4:$L$173,MATCH($A53&amp;"|"&amp;$B53&amp;"|"&amp;$C53&amp;"|"&amp;_xlfn.MAXIFS(Bitacora_Iteraciones!$I$4:$I$173,Bitacora_Iteraciones!$G$4:$G$173,$A53,Bitacora_Iteraciones!$E$4:$E$173,$B53,Bitacora_Iteraciones!$H$4:$H$173,$C53),Bitacora_Iteraciones!$R$4:$R$173,0))="Pasa","Sí","No"),"")</f>
        <v/>
      </c>
      <c r="G53" s="21" t="str">
        <f>IF(COUNTIFS(Bitacora_Iteraciones!$G$4:$G$173,$A53,Bitacora_Iteraciones!$E$4:$E$173,$B53,Bitacora_Iteraciones!$H$4:$H$173,$C53,Bitacora_Iteraciones!$M$4:$M$173,"Falla")&gt;0,"Sí",IF(COUNTIFS(Bitacora_Iteraciones!$G$4:$G$173,$A53,Bitacora_Iteraciones!$E$4:$E$173,$B53,Bitacora_Iteraciones!$H$4:$H$173,$C53)=0,"","No"))</f>
        <v/>
      </c>
      <c r="H53" s="21" t="str">
        <f>IF(COUNTIFS(Bitacora_Iteraciones!$G$4:$G$173,$A53,Bitacora_Iteraciones!$E$4:$E$173,$B53,Bitacora_Iteraciones!$H$4:$H$173,$C53,Bitacora_Iteraciones!$N$4:$N$173,"Sí")&gt;0,"Sí",IF(COUNTIFS(Bitacora_Iteraciones!$G$4:$G$173,$A53,Bitacora_Iteraciones!$E$4:$E$173,$B53,Bitacora_Iteraciones!$H$4:$H$173,$C53)=0,"","No"))</f>
        <v/>
      </c>
      <c r="I53" s="21">
        <f>SUMIFS(Bitacora_Iteraciones!$O$4:$O$173,Bitacora_Iteraciones!$G$4:$G$173,$A53,Bitacora_Iteraciones!$E$4:$E$173,$B53,Bitacora_Iteraciones!$H$4:$H$173,$C53)</f>
        <v>0</v>
      </c>
    </row>
    <row r="54" spans="1:9" ht="15.75" customHeight="1" x14ac:dyDescent="0.25">
      <c r="A54" s="20" t="s">
        <v>128</v>
      </c>
      <c r="B54" s="20" t="s">
        <v>173</v>
      </c>
      <c r="C54" s="20">
        <v>3</v>
      </c>
      <c r="D54" s="21">
        <f>COUNTIFS(Bitacora_Iteraciones!$G$4:$G$173,$A54,Bitacora_Iteraciones!$E$4:$E$173,$B54,Bitacora_Iteraciones!$H$4:$H$173,$C54)</f>
        <v>0</v>
      </c>
      <c r="E54" s="21" t="str">
        <f>IFERROR(IF(INDEX(Bitacora_Iteraciones!$L$4:$L$173,MATCH($A54&amp;"|"&amp;$B54&amp;"|"&amp;$C54&amp;"|"&amp;1,Bitacora_Iteraciones!$R$4:$R$173,0))="Pasa","Sí","No"),"")</f>
        <v/>
      </c>
      <c r="F54" s="21" t="str">
        <f>IFERROR(IF(INDEX(Bitacora_Iteraciones!$L$4:$L$173,MATCH($A54&amp;"|"&amp;$B54&amp;"|"&amp;$C54&amp;"|"&amp;_xlfn.MAXIFS(Bitacora_Iteraciones!$I$4:$I$173,Bitacora_Iteraciones!$G$4:$G$173,$A54,Bitacora_Iteraciones!$E$4:$E$173,$B54,Bitacora_Iteraciones!$H$4:$H$173,$C54),Bitacora_Iteraciones!$R$4:$R$173,0))="Pasa","Sí","No"),"")</f>
        <v/>
      </c>
      <c r="G54" s="21" t="str">
        <f>IF(COUNTIFS(Bitacora_Iteraciones!$G$4:$G$173,$A54,Bitacora_Iteraciones!$E$4:$E$173,$B54,Bitacora_Iteraciones!$H$4:$H$173,$C54,Bitacora_Iteraciones!$M$4:$M$173,"Falla")&gt;0,"Sí",IF(COUNTIFS(Bitacora_Iteraciones!$G$4:$G$173,$A54,Bitacora_Iteraciones!$E$4:$E$173,$B54,Bitacora_Iteraciones!$H$4:$H$173,$C54)=0,"","No"))</f>
        <v/>
      </c>
      <c r="H54" s="21" t="str">
        <f>IF(COUNTIFS(Bitacora_Iteraciones!$G$4:$G$173,$A54,Bitacora_Iteraciones!$E$4:$E$173,$B54,Bitacora_Iteraciones!$H$4:$H$173,$C54,Bitacora_Iteraciones!$N$4:$N$173,"Sí")&gt;0,"Sí",IF(COUNTIFS(Bitacora_Iteraciones!$G$4:$G$173,$A54,Bitacora_Iteraciones!$E$4:$E$173,$B54,Bitacora_Iteraciones!$H$4:$H$173,$C54)=0,"","No"))</f>
        <v/>
      </c>
      <c r="I54" s="21">
        <f>SUMIFS(Bitacora_Iteraciones!$O$4:$O$173,Bitacora_Iteraciones!$G$4:$G$173,$A54,Bitacora_Iteraciones!$E$4:$E$173,$B54,Bitacora_Iteraciones!$H$4:$H$173,$C54)</f>
        <v>0</v>
      </c>
    </row>
    <row r="55" spans="1:9" ht="15.75" customHeight="1" x14ac:dyDescent="0.25">
      <c r="A55" s="20" t="s">
        <v>128</v>
      </c>
      <c r="B55" s="20" t="s">
        <v>188</v>
      </c>
      <c r="C55" s="20">
        <v>1</v>
      </c>
      <c r="D55" s="21">
        <f>COUNTIFS(Bitacora_Iteraciones!$G$4:$G$173,$A55,Bitacora_Iteraciones!$E$4:$E$173,$B55,Bitacora_Iteraciones!$H$4:$H$173,$C55)</f>
        <v>0</v>
      </c>
      <c r="E55" s="21" t="str">
        <f>IFERROR(IF(INDEX(Bitacora_Iteraciones!$L$4:$L$173,MATCH($A55&amp;"|"&amp;$B55&amp;"|"&amp;$C55&amp;"|"&amp;1,Bitacora_Iteraciones!$R$4:$R$173,0))="Pasa","Sí","No"),"")</f>
        <v/>
      </c>
      <c r="F55" s="21" t="str">
        <f>IFERROR(IF(INDEX(Bitacora_Iteraciones!$L$4:$L$173,MATCH($A55&amp;"|"&amp;$B55&amp;"|"&amp;$C55&amp;"|"&amp;_xlfn.MAXIFS(Bitacora_Iteraciones!$I$4:$I$173,Bitacora_Iteraciones!$G$4:$G$173,$A55,Bitacora_Iteraciones!$E$4:$E$173,$B55,Bitacora_Iteraciones!$H$4:$H$173,$C55),Bitacora_Iteraciones!$R$4:$R$173,0))="Pasa","Sí","No"),"")</f>
        <v/>
      </c>
      <c r="G55" s="21" t="str">
        <f>IF(COUNTIFS(Bitacora_Iteraciones!$G$4:$G$173,$A55,Bitacora_Iteraciones!$E$4:$E$173,$B55,Bitacora_Iteraciones!$H$4:$H$173,$C55,Bitacora_Iteraciones!$M$4:$M$173,"Falla")&gt;0,"Sí",IF(COUNTIFS(Bitacora_Iteraciones!$G$4:$G$173,$A55,Bitacora_Iteraciones!$E$4:$E$173,$B55,Bitacora_Iteraciones!$H$4:$H$173,$C55)=0,"","No"))</f>
        <v/>
      </c>
      <c r="H55" s="21" t="str">
        <f>IF(COUNTIFS(Bitacora_Iteraciones!$G$4:$G$173,$A55,Bitacora_Iteraciones!$E$4:$E$173,$B55,Bitacora_Iteraciones!$H$4:$H$173,$C55,Bitacora_Iteraciones!$N$4:$N$173,"Sí")&gt;0,"Sí",IF(COUNTIFS(Bitacora_Iteraciones!$G$4:$G$173,$A55,Bitacora_Iteraciones!$E$4:$E$173,$B55,Bitacora_Iteraciones!$H$4:$H$173,$C55)=0,"","No"))</f>
        <v/>
      </c>
      <c r="I55" s="21">
        <f>SUMIFS(Bitacora_Iteraciones!$O$4:$O$173,Bitacora_Iteraciones!$G$4:$G$173,$A55,Bitacora_Iteraciones!$E$4:$E$173,$B55,Bitacora_Iteraciones!$H$4:$H$173,$C55)</f>
        <v>0</v>
      </c>
    </row>
    <row r="56" spans="1:9" ht="15.75" customHeight="1" x14ac:dyDescent="0.25">
      <c r="A56" s="20" t="s">
        <v>128</v>
      </c>
      <c r="B56" s="20" t="s">
        <v>188</v>
      </c>
      <c r="C56" s="20">
        <v>2</v>
      </c>
      <c r="D56" s="21">
        <f>COUNTIFS(Bitacora_Iteraciones!$G$4:$G$173,$A56,Bitacora_Iteraciones!$E$4:$E$173,$B56,Bitacora_Iteraciones!$H$4:$H$173,$C56)</f>
        <v>0</v>
      </c>
      <c r="E56" s="21" t="str">
        <f>IFERROR(IF(INDEX(Bitacora_Iteraciones!$L$4:$L$173,MATCH($A56&amp;"|"&amp;$B56&amp;"|"&amp;$C56&amp;"|"&amp;1,Bitacora_Iteraciones!$R$4:$R$173,0))="Pasa","Sí","No"),"")</f>
        <v/>
      </c>
      <c r="F56" s="21" t="str">
        <f>IFERROR(IF(INDEX(Bitacora_Iteraciones!$L$4:$L$173,MATCH($A56&amp;"|"&amp;$B56&amp;"|"&amp;$C56&amp;"|"&amp;_xlfn.MAXIFS(Bitacora_Iteraciones!$I$4:$I$173,Bitacora_Iteraciones!$G$4:$G$173,$A56,Bitacora_Iteraciones!$E$4:$E$173,$B56,Bitacora_Iteraciones!$H$4:$H$173,$C56),Bitacora_Iteraciones!$R$4:$R$173,0))="Pasa","Sí","No"),"")</f>
        <v/>
      </c>
      <c r="G56" s="21" t="str">
        <f>IF(COUNTIFS(Bitacora_Iteraciones!$G$4:$G$173,$A56,Bitacora_Iteraciones!$E$4:$E$173,$B56,Bitacora_Iteraciones!$H$4:$H$173,$C56,Bitacora_Iteraciones!$M$4:$M$173,"Falla")&gt;0,"Sí",IF(COUNTIFS(Bitacora_Iteraciones!$G$4:$G$173,$A56,Bitacora_Iteraciones!$E$4:$E$173,$B56,Bitacora_Iteraciones!$H$4:$H$173,$C56)=0,"","No"))</f>
        <v/>
      </c>
      <c r="H56" s="21" t="str">
        <f>IF(COUNTIFS(Bitacora_Iteraciones!$G$4:$G$173,$A56,Bitacora_Iteraciones!$E$4:$E$173,$B56,Bitacora_Iteraciones!$H$4:$H$173,$C56,Bitacora_Iteraciones!$N$4:$N$173,"Sí")&gt;0,"Sí",IF(COUNTIFS(Bitacora_Iteraciones!$G$4:$G$173,$A56,Bitacora_Iteraciones!$E$4:$E$173,$B56,Bitacora_Iteraciones!$H$4:$H$173,$C56)=0,"","No"))</f>
        <v/>
      </c>
      <c r="I56" s="21">
        <f>SUMIFS(Bitacora_Iteraciones!$O$4:$O$173,Bitacora_Iteraciones!$G$4:$G$173,$A56,Bitacora_Iteraciones!$E$4:$E$173,$B56,Bitacora_Iteraciones!$H$4:$H$173,$C56)</f>
        <v>0</v>
      </c>
    </row>
    <row r="57" spans="1:9" ht="15.75" customHeight="1" x14ac:dyDescent="0.25">
      <c r="A57" s="20" t="s">
        <v>128</v>
      </c>
      <c r="B57" s="20" t="s">
        <v>188</v>
      </c>
      <c r="C57" s="20">
        <v>3</v>
      </c>
      <c r="D57" s="21">
        <f>COUNTIFS(Bitacora_Iteraciones!$G$4:$G$173,$A57,Bitacora_Iteraciones!$E$4:$E$173,$B57,Bitacora_Iteraciones!$H$4:$H$173,$C57)</f>
        <v>0</v>
      </c>
      <c r="E57" s="21" t="str">
        <f>IFERROR(IF(INDEX(Bitacora_Iteraciones!$L$4:$L$173,MATCH($A57&amp;"|"&amp;$B57&amp;"|"&amp;$C57&amp;"|"&amp;1,Bitacora_Iteraciones!$R$4:$R$173,0))="Pasa","Sí","No"),"")</f>
        <v/>
      </c>
      <c r="F57" s="21" t="str">
        <f>IFERROR(IF(INDEX(Bitacora_Iteraciones!$L$4:$L$173,MATCH($A57&amp;"|"&amp;$B57&amp;"|"&amp;$C57&amp;"|"&amp;_xlfn.MAXIFS(Bitacora_Iteraciones!$I$4:$I$173,Bitacora_Iteraciones!$G$4:$G$173,$A57,Bitacora_Iteraciones!$E$4:$E$173,$B57,Bitacora_Iteraciones!$H$4:$H$173,$C57),Bitacora_Iteraciones!$R$4:$R$173,0))="Pasa","Sí","No"),"")</f>
        <v/>
      </c>
      <c r="G57" s="21" t="str">
        <f>IF(COUNTIFS(Bitacora_Iteraciones!$G$4:$G$173,$A57,Bitacora_Iteraciones!$E$4:$E$173,$B57,Bitacora_Iteraciones!$H$4:$H$173,$C57,Bitacora_Iteraciones!$M$4:$M$173,"Falla")&gt;0,"Sí",IF(COUNTIFS(Bitacora_Iteraciones!$G$4:$G$173,$A57,Bitacora_Iteraciones!$E$4:$E$173,$B57,Bitacora_Iteraciones!$H$4:$H$173,$C57)=0,"","No"))</f>
        <v/>
      </c>
      <c r="H57" s="21" t="str">
        <f>IF(COUNTIFS(Bitacora_Iteraciones!$G$4:$G$173,$A57,Bitacora_Iteraciones!$E$4:$E$173,$B57,Bitacora_Iteraciones!$H$4:$H$173,$C57,Bitacora_Iteraciones!$N$4:$N$173,"Sí")&gt;0,"Sí",IF(COUNTIFS(Bitacora_Iteraciones!$G$4:$G$173,$A57,Bitacora_Iteraciones!$E$4:$E$173,$B57,Bitacora_Iteraciones!$H$4:$H$173,$C57)=0,"","No"))</f>
        <v/>
      </c>
      <c r="I57" s="21">
        <f>SUMIFS(Bitacora_Iteraciones!$O$4:$O$173,Bitacora_Iteraciones!$G$4:$G$173,$A57,Bitacora_Iteraciones!$E$4:$E$173,$B57,Bitacora_Iteraciones!$H$4:$H$173,$C57)</f>
        <v>0</v>
      </c>
    </row>
    <row r="58" spans="1:9" ht="15.75" customHeight="1" x14ac:dyDescent="0.25">
      <c r="A58" s="20" t="s">
        <v>132</v>
      </c>
      <c r="B58" s="20" t="s">
        <v>173</v>
      </c>
      <c r="C58" s="20">
        <v>1</v>
      </c>
      <c r="D58" s="21">
        <f>COUNTIFS(Bitacora_Iteraciones!$G$4:$G$173,$A58,Bitacora_Iteraciones!$E$4:$E$173,$B58,Bitacora_Iteraciones!$H$4:$H$173,$C58)</f>
        <v>0</v>
      </c>
      <c r="E58" s="21" t="str">
        <f>IFERROR(IF(INDEX(Bitacora_Iteraciones!$L$4:$L$173,MATCH($A58&amp;"|"&amp;$B58&amp;"|"&amp;$C58&amp;"|"&amp;1,Bitacora_Iteraciones!$R$4:$R$173,0))="Pasa","Sí","No"),"")</f>
        <v/>
      </c>
      <c r="F58" s="21" t="str">
        <f>IFERROR(IF(INDEX(Bitacora_Iteraciones!$L$4:$L$173,MATCH($A58&amp;"|"&amp;$B58&amp;"|"&amp;$C58&amp;"|"&amp;_xlfn.MAXIFS(Bitacora_Iteraciones!$I$4:$I$173,Bitacora_Iteraciones!$G$4:$G$173,$A58,Bitacora_Iteraciones!$E$4:$E$173,$B58,Bitacora_Iteraciones!$H$4:$H$173,$C58),Bitacora_Iteraciones!$R$4:$R$173,0))="Pasa","Sí","No"),"")</f>
        <v/>
      </c>
      <c r="G58" s="21" t="str">
        <f>IF(COUNTIFS(Bitacora_Iteraciones!$G$4:$G$173,$A58,Bitacora_Iteraciones!$E$4:$E$173,$B58,Bitacora_Iteraciones!$H$4:$H$173,$C58,Bitacora_Iteraciones!$M$4:$M$173,"Falla")&gt;0,"Sí",IF(COUNTIFS(Bitacora_Iteraciones!$G$4:$G$173,$A58,Bitacora_Iteraciones!$E$4:$E$173,$B58,Bitacora_Iteraciones!$H$4:$H$173,$C58)=0,"","No"))</f>
        <v/>
      </c>
      <c r="H58" s="21" t="str">
        <f>IF(COUNTIFS(Bitacora_Iteraciones!$G$4:$G$173,$A58,Bitacora_Iteraciones!$E$4:$E$173,$B58,Bitacora_Iteraciones!$H$4:$H$173,$C58,Bitacora_Iteraciones!$N$4:$N$173,"Sí")&gt;0,"Sí",IF(COUNTIFS(Bitacora_Iteraciones!$G$4:$G$173,$A58,Bitacora_Iteraciones!$E$4:$E$173,$B58,Bitacora_Iteraciones!$H$4:$H$173,$C58)=0,"","No"))</f>
        <v/>
      </c>
      <c r="I58" s="21">
        <f>SUMIFS(Bitacora_Iteraciones!$O$4:$O$173,Bitacora_Iteraciones!$G$4:$G$173,$A58,Bitacora_Iteraciones!$E$4:$E$173,$B58,Bitacora_Iteraciones!$H$4:$H$173,$C58)</f>
        <v>0</v>
      </c>
    </row>
    <row r="59" spans="1:9" ht="15.75" customHeight="1" x14ac:dyDescent="0.25">
      <c r="A59" s="20" t="s">
        <v>132</v>
      </c>
      <c r="B59" s="20" t="s">
        <v>173</v>
      </c>
      <c r="C59" s="20">
        <v>2</v>
      </c>
      <c r="D59" s="21">
        <f>COUNTIFS(Bitacora_Iteraciones!$G$4:$G$173,$A59,Bitacora_Iteraciones!$E$4:$E$173,$B59,Bitacora_Iteraciones!$H$4:$H$173,$C59)</f>
        <v>0</v>
      </c>
      <c r="E59" s="21" t="str">
        <f>IFERROR(IF(INDEX(Bitacora_Iteraciones!$L$4:$L$173,MATCH($A59&amp;"|"&amp;$B59&amp;"|"&amp;$C59&amp;"|"&amp;1,Bitacora_Iteraciones!$R$4:$R$173,0))="Pasa","Sí","No"),"")</f>
        <v/>
      </c>
      <c r="F59" s="21" t="str">
        <f>IFERROR(IF(INDEX(Bitacora_Iteraciones!$L$4:$L$173,MATCH($A59&amp;"|"&amp;$B59&amp;"|"&amp;$C59&amp;"|"&amp;_xlfn.MAXIFS(Bitacora_Iteraciones!$I$4:$I$173,Bitacora_Iteraciones!$G$4:$G$173,$A59,Bitacora_Iteraciones!$E$4:$E$173,$B59,Bitacora_Iteraciones!$H$4:$H$173,$C59),Bitacora_Iteraciones!$R$4:$R$173,0))="Pasa","Sí","No"),"")</f>
        <v/>
      </c>
      <c r="G59" s="21" t="str">
        <f>IF(COUNTIFS(Bitacora_Iteraciones!$G$4:$G$173,$A59,Bitacora_Iteraciones!$E$4:$E$173,$B59,Bitacora_Iteraciones!$H$4:$H$173,$C59,Bitacora_Iteraciones!$M$4:$M$173,"Falla")&gt;0,"Sí",IF(COUNTIFS(Bitacora_Iteraciones!$G$4:$G$173,$A59,Bitacora_Iteraciones!$E$4:$E$173,$B59,Bitacora_Iteraciones!$H$4:$H$173,$C59)=0,"","No"))</f>
        <v/>
      </c>
      <c r="H59" s="21" t="str">
        <f>IF(COUNTIFS(Bitacora_Iteraciones!$G$4:$G$173,$A59,Bitacora_Iteraciones!$E$4:$E$173,$B59,Bitacora_Iteraciones!$H$4:$H$173,$C59,Bitacora_Iteraciones!$N$4:$N$173,"Sí")&gt;0,"Sí",IF(COUNTIFS(Bitacora_Iteraciones!$G$4:$G$173,$A59,Bitacora_Iteraciones!$E$4:$E$173,$B59,Bitacora_Iteraciones!$H$4:$H$173,$C59)=0,"","No"))</f>
        <v/>
      </c>
      <c r="I59" s="21">
        <f>SUMIFS(Bitacora_Iteraciones!$O$4:$O$173,Bitacora_Iteraciones!$G$4:$G$173,$A59,Bitacora_Iteraciones!$E$4:$E$173,$B59,Bitacora_Iteraciones!$H$4:$H$173,$C59)</f>
        <v>0</v>
      </c>
    </row>
    <row r="60" spans="1:9" ht="15.75" customHeight="1" x14ac:dyDescent="0.25">
      <c r="A60" s="20" t="s">
        <v>132</v>
      </c>
      <c r="B60" s="20" t="s">
        <v>173</v>
      </c>
      <c r="C60" s="20">
        <v>3</v>
      </c>
      <c r="D60" s="21">
        <f>COUNTIFS(Bitacora_Iteraciones!$G$4:$G$173,$A60,Bitacora_Iteraciones!$E$4:$E$173,$B60,Bitacora_Iteraciones!$H$4:$H$173,$C60)</f>
        <v>0</v>
      </c>
      <c r="E60" s="21" t="str">
        <f>IFERROR(IF(INDEX(Bitacora_Iteraciones!$L$4:$L$173,MATCH($A60&amp;"|"&amp;$B60&amp;"|"&amp;$C60&amp;"|"&amp;1,Bitacora_Iteraciones!$R$4:$R$173,0))="Pasa","Sí","No"),"")</f>
        <v/>
      </c>
      <c r="F60" s="21" t="str">
        <f>IFERROR(IF(INDEX(Bitacora_Iteraciones!$L$4:$L$173,MATCH($A60&amp;"|"&amp;$B60&amp;"|"&amp;$C60&amp;"|"&amp;_xlfn.MAXIFS(Bitacora_Iteraciones!$I$4:$I$173,Bitacora_Iteraciones!$G$4:$G$173,$A60,Bitacora_Iteraciones!$E$4:$E$173,$B60,Bitacora_Iteraciones!$H$4:$H$173,$C60),Bitacora_Iteraciones!$R$4:$R$173,0))="Pasa","Sí","No"),"")</f>
        <v/>
      </c>
      <c r="G60" s="21" t="str">
        <f>IF(COUNTIFS(Bitacora_Iteraciones!$G$4:$G$173,$A60,Bitacora_Iteraciones!$E$4:$E$173,$B60,Bitacora_Iteraciones!$H$4:$H$173,$C60,Bitacora_Iteraciones!$M$4:$M$173,"Falla")&gt;0,"Sí",IF(COUNTIFS(Bitacora_Iteraciones!$G$4:$G$173,$A60,Bitacora_Iteraciones!$E$4:$E$173,$B60,Bitacora_Iteraciones!$H$4:$H$173,$C60)=0,"","No"))</f>
        <v/>
      </c>
      <c r="H60" s="21" t="str">
        <f>IF(COUNTIFS(Bitacora_Iteraciones!$G$4:$G$173,$A60,Bitacora_Iteraciones!$E$4:$E$173,$B60,Bitacora_Iteraciones!$H$4:$H$173,$C60,Bitacora_Iteraciones!$N$4:$N$173,"Sí")&gt;0,"Sí",IF(COUNTIFS(Bitacora_Iteraciones!$G$4:$G$173,$A60,Bitacora_Iteraciones!$E$4:$E$173,$B60,Bitacora_Iteraciones!$H$4:$H$173,$C60)=0,"","No"))</f>
        <v/>
      </c>
      <c r="I60" s="21">
        <f>SUMIFS(Bitacora_Iteraciones!$O$4:$O$173,Bitacora_Iteraciones!$G$4:$G$173,$A60,Bitacora_Iteraciones!$E$4:$E$173,$B60,Bitacora_Iteraciones!$H$4:$H$173,$C60)</f>
        <v>0</v>
      </c>
    </row>
    <row r="61" spans="1:9" ht="15.75" customHeight="1" x14ac:dyDescent="0.25">
      <c r="A61" s="20" t="s">
        <v>132</v>
      </c>
      <c r="B61" s="20" t="s">
        <v>188</v>
      </c>
      <c r="C61" s="20">
        <v>1</v>
      </c>
      <c r="D61" s="21">
        <f>COUNTIFS(Bitacora_Iteraciones!$G$4:$G$173,$A61,Bitacora_Iteraciones!$E$4:$E$173,$B61,Bitacora_Iteraciones!$H$4:$H$173,$C61)</f>
        <v>0</v>
      </c>
      <c r="E61" s="21" t="str">
        <f>IFERROR(IF(INDEX(Bitacora_Iteraciones!$L$4:$L$173,MATCH($A61&amp;"|"&amp;$B61&amp;"|"&amp;$C61&amp;"|"&amp;1,Bitacora_Iteraciones!$R$4:$R$173,0))="Pasa","Sí","No"),"")</f>
        <v/>
      </c>
      <c r="F61" s="21" t="str">
        <f>IFERROR(IF(INDEX(Bitacora_Iteraciones!$L$4:$L$173,MATCH($A61&amp;"|"&amp;$B61&amp;"|"&amp;$C61&amp;"|"&amp;_xlfn.MAXIFS(Bitacora_Iteraciones!$I$4:$I$173,Bitacora_Iteraciones!$G$4:$G$173,$A61,Bitacora_Iteraciones!$E$4:$E$173,$B61,Bitacora_Iteraciones!$H$4:$H$173,$C61),Bitacora_Iteraciones!$R$4:$R$173,0))="Pasa","Sí","No"),"")</f>
        <v/>
      </c>
      <c r="G61" s="21" t="str">
        <f>IF(COUNTIFS(Bitacora_Iteraciones!$G$4:$G$173,$A61,Bitacora_Iteraciones!$E$4:$E$173,$B61,Bitacora_Iteraciones!$H$4:$H$173,$C61,Bitacora_Iteraciones!$M$4:$M$173,"Falla")&gt;0,"Sí",IF(COUNTIFS(Bitacora_Iteraciones!$G$4:$G$173,$A61,Bitacora_Iteraciones!$E$4:$E$173,$B61,Bitacora_Iteraciones!$H$4:$H$173,$C61)=0,"","No"))</f>
        <v/>
      </c>
      <c r="H61" s="21" t="str">
        <f>IF(COUNTIFS(Bitacora_Iteraciones!$G$4:$G$173,$A61,Bitacora_Iteraciones!$E$4:$E$173,$B61,Bitacora_Iteraciones!$H$4:$H$173,$C61,Bitacora_Iteraciones!$N$4:$N$173,"Sí")&gt;0,"Sí",IF(COUNTIFS(Bitacora_Iteraciones!$G$4:$G$173,$A61,Bitacora_Iteraciones!$E$4:$E$173,$B61,Bitacora_Iteraciones!$H$4:$H$173,$C61)=0,"","No"))</f>
        <v/>
      </c>
      <c r="I61" s="21">
        <f>SUMIFS(Bitacora_Iteraciones!$O$4:$O$173,Bitacora_Iteraciones!$G$4:$G$173,$A61,Bitacora_Iteraciones!$E$4:$E$173,$B61,Bitacora_Iteraciones!$H$4:$H$173,$C61)</f>
        <v>0</v>
      </c>
    </row>
    <row r="62" spans="1:9" ht="15.75" customHeight="1" x14ac:dyDescent="0.25">
      <c r="A62" s="20" t="s">
        <v>132</v>
      </c>
      <c r="B62" s="20" t="s">
        <v>188</v>
      </c>
      <c r="C62" s="20">
        <v>2</v>
      </c>
      <c r="D62" s="21">
        <f>COUNTIFS(Bitacora_Iteraciones!$G$4:$G$173,$A62,Bitacora_Iteraciones!$E$4:$E$173,$B62,Bitacora_Iteraciones!$H$4:$H$173,$C62)</f>
        <v>0</v>
      </c>
      <c r="E62" s="21" t="str">
        <f>IFERROR(IF(INDEX(Bitacora_Iteraciones!$L$4:$L$173,MATCH($A62&amp;"|"&amp;$B62&amp;"|"&amp;$C62&amp;"|"&amp;1,Bitacora_Iteraciones!$R$4:$R$173,0))="Pasa","Sí","No"),"")</f>
        <v/>
      </c>
      <c r="F62" s="21" t="str">
        <f>IFERROR(IF(INDEX(Bitacora_Iteraciones!$L$4:$L$173,MATCH($A62&amp;"|"&amp;$B62&amp;"|"&amp;$C62&amp;"|"&amp;_xlfn.MAXIFS(Bitacora_Iteraciones!$I$4:$I$173,Bitacora_Iteraciones!$G$4:$G$173,$A62,Bitacora_Iteraciones!$E$4:$E$173,$B62,Bitacora_Iteraciones!$H$4:$H$173,$C62),Bitacora_Iteraciones!$R$4:$R$173,0))="Pasa","Sí","No"),"")</f>
        <v/>
      </c>
      <c r="G62" s="21" t="str">
        <f>IF(COUNTIFS(Bitacora_Iteraciones!$G$4:$G$173,$A62,Bitacora_Iteraciones!$E$4:$E$173,$B62,Bitacora_Iteraciones!$H$4:$H$173,$C62,Bitacora_Iteraciones!$M$4:$M$173,"Falla")&gt;0,"Sí",IF(COUNTIFS(Bitacora_Iteraciones!$G$4:$G$173,$A62,Bitacora_Iteraciones!$E$4:$E$173,$B62,Bitacora_Iteraciones!$H$4:$H$173,$C62)=0,"","No"))</f>
        <v/>
      </c>
      <c r="H62" s="21" t="str">
        <f>IF(COUNTIFS(Bitacora_Iteraciones!$G$4:$G$173,$A62,Bitacora_Iteraciones!$E$4:$E$173,$B62,Bitacora_Iteraciones!$H$4:$H$173,$C62,Bitacora_Iteraciones!$N$4:$N$173,"Sí")&gt;0,"Sí",IF(COUNTIFS(Bitacora_Iteraciones!$G$4:$G$173,$A62,Bitacora_Iteraciones!$E$4:$E$173,$B62,Bitacora_Iteraciones!$H$4:$H$173,$C62)=0,"","No"))</f>
        <v/>
      </c>
      <c r="I62" s="21">
        <f>SUMIFS(Bitacora_Iteraciones!$O$4:$O$173,Bitacora_Iteraciones!$G$4:$G$173,$A62,Bitacora_Iteraciones!$E$4:$E$173,$B62,Bitacora_Iteraciones!$H$4:$H$173,$C62)</f>
        <v>0</v>
      </c>
    </row>
    <row r="63" spans="1:9" ht="15.75" customHeight="1" x14ac:dyDescent="0.25">
      <c r="A63" s="20" t="s">
        <v>132</v>
      </c>
      <c r="B63" s="20" t="s">
        <v>188</v>
      </c>
      <c r="C63" s="20">
        <v>3</v>
      </c>
      <c r="D63" s="21">
        <f>COUNTIFS(Bitacora_Iteraciones!$G$4:$G$173,$A63,Bitacora_Iteraciones!$E$4:$E$173,$B63,Bitacora_Iteraciones!$H$4:$H$173,$C63)</f>
        <v>0</v>
      </c>
      <c r="E63" s="21" t="str">
        <f>IFERROR(IF(INDEX(Bitacora_Iteraciones!$L$4:$L$173,MATCH($A63&amp;"|"&amp;$B63&amp;"|"&amp;$C63&amp;"|"&amp;1,Bitacora_Iteraciones!$R$4:$R$173,0))="Pasa","Sí","No"),"")</f>
        <v/>
      </c>
      <c r="F63" s="21" t="str">
        <f>IFERROR(IF(INDEX(Bitacora_Iteraciones!$L$4:$L$173,MATCH($A63&amp;"|"&amp;$B63&amp;"|"&amp;$C63&amp;"|"&amp;_xlfn.MAXIFS(Bitacora_Iteraciones!$I$4:$I$173,Bitacora_Iteraciones!$G$4:$G$173,$A63,Bitacora_Iteraciones!$E$4:$E$173,$B63,Bitacora_Iteraciones!$H$4:$H$173,$C63),Bitacora_Iteraciones!$R$4:$R$173,0))="Pasa","Sí","No"),"")</f>
        <v/>
      </c>
      <c r="G63" s="21" t="str">
        <f>IF(COUNTIFS(Bitacora_Iteraciones!$G$4:$G$173,$A63,Bitacora_Iteraciones!$E$4:$E$173,$B63,Bitacora_Iteraciones!$H$4:$H$173,$C63,Bitacora_Iteraciones!$M$4:$M$173,"Falla")&gt;0,"Sí",IF(COUNTIFS(Bitacora_Iteraciones!$G$4:$G$173,$A63,Bitacora_Iteraciones!$E$4:$E$173,$B63,Bitacora_Iteraciones!$H$4:$H$173,$C63)=0,"","No"))</f>
        <v/>
      </c>
      <c r="H63" s="21" t="str">
        <f>IF(COUNTIFS(Bitacora_Iteraciones!$G$4:$G$173,$A63,Bitacora_Iteraciones!$E$4:$E$173,$B63,Bitacora_Iteraciones!$H$4:$H$173,$C63,Bitacora_Iteraciones!$N$4:$N$173,"Sí")&gt;0,"Sí",IF(COUNTIFS(Bitacora_Iteraciones!$G$4:$G$173,$A63,Bitacora_Iteraciones!$E$4:$E$173,$B63,Bitacora_Iteraciones!$H$4:$H$173,$C63)=0,"","No"))</f>
        <v/>
      </c>
      <c r="I63" s="21">
        <f>SUMIFS(Bitacora_Iteraciones!$O$4:$O$173,Bitacora_Iteraciones!$G$4:$G$173,$A63,Bitacora_Iteraciones!$E$4:$E$173,$B63,Bitacora_Iteraciones!$H$4:$H$173,$C63)</f>
        <v>0</v>
      </c>
    </row>
    <row r="64" spans="1:9" ht="15.75" customHeight="1" x14ac:dyDescent="0.25">
      <c r="A64" s="20" t="s">
        <v>136</v>
      </c>
      <c r="B64" s="20" t="s">
        <v>173</v>
      </c>
      <c r="C64" s="20">
        <v>1</v>
      </c>
      <c r="D64" s="21">
        <f>COUNTIFS(Bitacora_Iteraciones!$G$4:$G$173,$A64,Bitacora_Iteraciones!$E$4:$E$173,$B64,Bitacora_Iteraciones!$H$4:$H$173,$C64)</f>
        <v>0</v>
      </c>
      <c r="E64" s="21" t="str">
        <f>IFERROR(IF(INDEX(Bitacora_Iteraciones!$L$4:$L$173,MATCH($A64&amp;"|"&amp;$B64&amp;"|"&amp;$C64&amp;"|"&amp;1,Bitacora_Iteraciones!$R$4:$R$173,0))="Pasa","Sí","No"),"")</f>
        <v/>
      </c>
      <c r="F64" s="21" t="str">
        <f>IFERROR(IF(INDEX(Bitacora_Iteraciones!$L$4:$L$173,MATCH($A64&amp;"|"&amp;$B64&amp;"|"&amp;$C64&amp;"|"&amp;_xlfn.MAXIFS(Bitacora_Iteraciones!$I$4:$I$173,Bitacora_Iteraciones!$G$4:$G$173,$A64,Bitacora_Iteraciones!$E$4:$E$173,$B64,Bitacora_Iteraciones!$H$4:$H$173,$C64),Bitacora_Iteraciones!$R$4:$R$173,0))="Pasa","Sí","No"),"")</f>
        <v/>
      </c>
      <c r="G64" s="21" t="str">
        <f>IF(COUNTIFS(Bitacora_Iteraciones!$G$4:$G$173,$A64,Bitacora_Iteraciones!$E$4:$E$173,$B64,Bitacora_Iteraciones!$H$4:$H$173,$C64,Bitacora_Iteraciones!$M$4:$M$173,"Falla")&gt;0,"Sí",IF(COUNTIFS(Bitacora_Iteraciones!$G$4:$G$173,$A64,Bitacora_Iteraciones!$E$4:$E$173,$B64,Bitacora_Iteraciones!$H$4:$H$173,$C64)=0,"","No"))</f>
        <v/>
      </c>
      <c r="H64" s="21" t="str">
        <f>IF(COUNTIFS(Bitacora_Iteraciones!$G$4:$G$173,$A64,Bitacora_Iteraciones!$E$4:$E$173,$B64,Bitacora_Iteraciones!$H$4:$H$173,$C64,Bitacora_Iteraciones!$N$4:$N$173,"Sí")&gt;0,"Sí",IF(COUNTIFS(Bitacora_Iteraciones!$G$4:$G$173,$A64,Bitacora_Iteraciones!$E$4:$E$173,$B64,Bitacora_Iteraciones!$H$4:$H$173,$C64)=0,"","No"))</f>
        <v/>
      </c>
      <c r="I64" s="21">
        <f>SUMIFS(Bitacora_Iteraciones!$O$4:$O$173,Bitacora_Iteraciones!$G$4:$G$173,$A64,Bitacora_Iteraciones!$E$4:$E$173,$B64,Bitacora_Iteraciones!$H$4:$H$173,$C64)</f>
        <v>0</v>
      </c>
    </row>
    <row r="65" spans="1:9" ht="15.75" customHeight="1" x14ac:dyDescent="0.25">
      <c r="A65" s="20" t="s">
        <v>136</v>
      </c>
      <c r="B65" s="20" t="s">
        <v>173</v>
      </c>
      <c r="C65" s="20">
        <v>2</v>
      </c>
      <c r="D65" s="21">
        <f>COUNTIFS(Bitacora_Iteraciones!$G$4:$G$173,$A65,Bitacora_Iteraciones!$E$4:$E$173,$B65,Bitacora_Iteraciones!$H$4:$H$173,$C65)</f>
        <v>0</v>
      </c>
      <c r="E65" s="21" t="str">
        <f>IFERROR(IF(INDEX(Bitacora_Iteraciones!$L$4:$L$173,MATCH($A65&amp;"|"&amp;$B65&amp;"|"&amp;$C65&amp;"|"&amp;1,Bitacora_Iteraciones!$R$4:$R$173,0))="Pasa","Sí","No"),"")</f>
        <v/>
      </c>
      <c r="F65" s="21" t="str">
        <f>IFERROR(IF(INDEX(Bitacora_Iteraciones!$L$4:$L$173,MATCH($A65&amp;"|"&amp;$B65&amp;"|"&amp;$C65&amp;"|"&amp;_xlfn.MAXIFS(Bitacora_Iteraciones!$I$4:$I$173,Bitacora_Iteraciones!$G$4:$G$173,$A65,Bitacora_Iteraciones!$E$4:$E$173,$B65,Bitacora_Iteraciones!$H$4:$H$173,$C65),Bitacora_Iteraciones!$R$4:$R$173,0))="Pasa","Sí","No"),"")</f>
        <v/>
      </c>
      <c r="G65" s="21" t="str">
        <f>IF(COUNTIFS(Bitacora_Iteraciones!$G$4:$G$173,$A65,Bitacora_Iteraciones!$E$4:$E$173,$B65,Bitacora_Iteraciones!$H$4:$H$173,$C65,Bitacora_Iteraciones!$M$4:$M$173,"Falla")&gt;0,"Sí",IF(COUNTIFS(Bitacora_Iteraciones!$G$4:$G$173,$A65,Bitacora_Iteraciones!$E$4:$E$173,$B65,Bitacora_Iteraciones!$H$4:$H$173,$C65)=0,"","No"))</f>
        <v/>
      </c>
      <c r="H65" s="21" t="str">
        <f>IF(COUNTIFS(Bitacora_Iteraciones!$G$4:$G$173,$A65,Bitacora_Iteraciones!$E$4:$E$173,$B65,Bitacora_Iteraciones!$H$4:$H$173,$C65,Bitacora_Iteraciones!$N$4:$N$173,"Sí")&gt;0,"Sí",IF(COUNTIFS(Bitacora_Iteraciones!$G$4:$G$173,$A65,Bitacora_Iteraciones!$E$4:$E$173,$B65,Bitacora_Iteraciones!$H$4:$H$173,$C65)=0,"","No"))</f>
        <v/>
      </c>
      <c r="I65" s="21">
        <f>SUMIFS(Bitacora_Iteraciones!$O$4:$O$173,Bitacora_Iteraciones!$G$4:$G$173,$A65,Bitacora_Iteraciones!$E$4:$E$173,$B65,Bitacora_Iteraciones!$H$4:$H$173,$C65)</f>
        <v>0</v>
      </c>
    </row>
    <row r="66" spans="1:9" ht="15.75" customHeight="1" x14ac:dyDescent="0.25">
      <c r="A66" s="20" t="s">
        <v>136</v>
      </c>
      <c r="B66" s="20" t="s">
        <v>173</v>
      </c>
      <c r="C66" s="20">
        <v>3</v>
      </c>
      <c r="D66" s="21">
        <f>COUNTIFS(Bitacora_Iteraciones!$G$4:$G$173,$A66,Bitacora_Iteraciones!$E$4:$E$173,$B66,Bitacora_Iteraciones!$H$4:$H$173,$C66)</f>
        <v>0</v>
      </c>
      <c r="E66" s="21" t="str">
        <f>IFERROR(IF(INDEX(Bitacora_Iteraciones!$L$4:$L$173,MATCH($A66&amp;"|"&amp;$B66&amp;"|"&amp;$C66&amp;"|"&amp;1,Bitacora_Iteraciones!$R$4:$R$173,0))="Pasa","Sí","No"),"")</f>
        <v/>
      </c>
      <c r="F66" s="21" t="str">
        <f>IFERROR(IF(INDEX(Bitacora_Iteraciones!$L$4:$L$173,MATCH($A66&amp;"|"&amp;$B66&amp;"|"&amp;$C66&amp;"|"&amp;_xlfn.MAXIFS(Bitacora_Iteraciones!$I$4:$I$173,Bitacora_Iteraciones!$G$4:$G$173,$A66,Bitacora_Iteraciones!$E$4:$E$173,$B66,Bitacora_Iteraciones!$H$4:$H$173,$C66),Bitacora_Iteraciones!$R$4:$R$173,0))="Pasa","Sí","No"),"")</f>
        <v/>
      </c>
      <c r="G66" s="21" t="str">
        <f>IF(COUNTIFS(Bitacora_Iteraciones!$G$4:$G$173,$A66,Bitacora_Iteraciones!$E$4:$E$173,$B66,Bitacora_Iteraciones!$H$4:$H$173,$C66,Bitacora_Iteraciones!$M$4:$M$173,"Falla")&gt;0,"Sí",IF(COUNTIFS(Bitacora_Iteraciones!$G$4:$G$173,$A66,Bitacora_Iteraciones!$E$4:$E$173,$B66,Bitacora_Iteraciones!$H$4:$H$173,$C66)=0,"","No"))</f>
        <v/>
      </c>
      <c r="H66" s="21" t="str">
        <f>IF(COUNTIFS(Bitacora_Iteraciones!$G$4:$G$173,$A66,Bitacora_Iteraciones!$E$4:$E$173,$B66,Bitacora_Iteraciones!$H$4:$H$173,$C66,Bitacora_Iteraciones!$N$4:$N$173,"Sí")&gt;0,"Sí",IF(COUNTIFS(Bitacora_Iteraciones!$G$4:$G$173,$A66,Bitacora_Iteraciones!$E$4:$E$173,$B66,Bitacora_Iteraciones!$H$4:$H$173,$C66)=0,"","No"))</f>
        <v/>
      </c>
      <c r="I66" s="21">
        <f>SUMIFS(Bitacora_Iteraciones!$O$4:$O$173,Bitacora_Iteraciones!$G$4:$G$173,$A66,Bitacora_Iteraciones!$E$4:$E$173,$B66,Bitacora_Iteraciones!$H$4:$H$173,$C66)</f>
        <v>0</v>
      </c>
    </row>
    <row r="67" spans="1:9" ht="15.75" customHeight="1" x14ac:dyDescent="0.25">
      <c r="A67" s="20" t="s">
        <v>136</v>
      </c>
      <c r="B67" s="20" t="s">
        <v>188</v>
      </c>
      <c r="C67" s="20">
        <v>1</v>
      </c>
      <c r="D67" s="21">
        <f>COUNTIFS(Bitacora_Iteraciones!$G$4:$G$173,$A67,Bitacora_Iteraciones!$E$4:$E$173,$B67,Bitacora_Iteraciones!$H$4:$H$173,$C67)</f>
        <v>0</v>
      </c>
      <c r="E67" s="21" t="str">
        <f>IFERROR(IF(INDEX(Bitacora_Iteraciones!$L$4:$L$173,MATCH($A67&amp;"|"&amp;$B67&amp;"|"&amp;$C67&amp;"|"&amp;1,Bitacora_Iteraciones!$R$4:$R$173,0))="Pasa","Sí","No"),"")</f>
        <v/>
      </c>
      <c r="F67" s="21" t="str">
        <f>IFERROR(IF(INDEX(Bitacora_Iteraciones!$L$4:$L$173,MATCH($A67&amp;"|"&amp;$B67&amp;"|"&amp;$C67&amp;"|"&amp;_xlfn.MAXIFS(Bitacora_Iteraciones!$I$4:$I$173,Bitacora_Iteraciones!$G$4:$G$173,$A67,Bitacora_Iteraciones!$E$4:$E$173,$B67,Bitacora_Iteraciones!$H$4:$H$173,$C67),Bitacora_Iteraciones!$R$4:$R$173,0))="Pasa","Sí","No"),"")</f>
        <v/>
      </c>
      <c r="G67" s="21" t="str">
        <f>IF(COUNTIFS(Bitacora_Iteraciones!$G$4:$G$173,$A67,Bitacora_Iteraciones!$E$4:$E$173,$B67,Bitacora_Iteraciones!$H$4:$H$173,$C67,Bitacora_Iteraciones!$M$4:$M$173,"Falla")&gt;0,"Sí",IF(COUNTIFS(Bitacora_Iteraciones!$G$4:$G$173,$A67,Bitacora_Iteraciones!$E$4:$E$173,$B67,Bitacora_Iteraciones!$H$4:$H$173,$C67)=0,"","No"))</f>
        <v/>
      </c>
      <c r="H67" s="21" t="str">
        <f>IF(COUNTIFS(Bitacora_Iteraciones!$G$4:$G$173,$A67,Bitacora_Iteraciones!$E$4:$E$173,$B67,Bitacora_Iteraciones!$H$4:$H$173,$C67,Bitacora_Iteraciones!$N$4:$N$173,"Sí")&gt;0,"Sí",IF(COUNTIFS(Bitacora_Iteraciones!$G$4:$G$173,$A67,Bitacora_Iteraciones!$E$4:$E$173,$B67,Bitacora_Iteraciones!$H$4:$H$173,$C67)=0,"","No"))</f>
        <v/>
      </c>
      <c r="I67" s="21">
        <f>SUMIFS(Bitacora_Iteraciones!$O$4:$O$173,Bitacora_Iteraciones!$G$4:$G$173,$A67,Bitacora_Iteraciones!$E$4:$E$173,$B67,Bitacora_Iteraciones!$H$4:$H$173,$C67)</f>
        <v>0</v>
      </c>
    </row>
    <row r="68" spans="1:9" ht="15.75" customHeight="1" x14ac:dyDescent="0.25">
      <c r="A68" s="20" t="s">
        <v>136</v>
      </c>
      <c r="B68" s="20" t="s">
        <v>188</v>
      </c>
      <c r="C68" s="20">
        <v>2</v>
      </c>
      <c r="D68" s="21">
        <f>COUNTIFS(Bitacora_Iteraciones!$G$4:$G$173,$A68,Bitacora_Iteraciones!$E$4:$E$173,$B68,Bitacora_Iteraciones!$H$4:$H$173,$C68)</f>
        <v>0</v>
      </c>
      <c r="E68" s="21" t="str">
        <f>IFERROR(IF(INDEX(Bitacora_Iteraciones!$L$4:$L$173,MATCH($A68&amp;"|"&amp;$B68&amp;"|"&amp;$C68&amp;"|"&amp;1,Bitacora_Iteraciones!$R$4:$R$173,0))="Pasa","Sí","No"),"")</f>
        <v/>
      </c>
      <c r="F68" s="21" t="str">
        <f>IFERROR(IF(INDEX(Bitacora_Iteraciones!$L$4:$L$173,MATCH($A68&amp;"|"&amp;$B68&amp;"|"&amp;$C68&amp;"|"&amp;_xlfn.MAXIFS(Bitacora_Iteraciones!$I$4:$I$173,Bitacora_Iteraciones!$G$4:$G$173,$A68,Bitacora_Iteraciones!$E$4:$E$173,$B68,Bitacora_Iteraciones!$H$4:$H$173,$C68),Bitacora_Iteraciones!$R$4:$R$173,0))="Pasa","Sí","No"),"")</f>
        <v/>
      </c>
      <c r="G68" s="21" t="str">
        <f>IF(COUNTIFS(Bitacora_Iteraciones!$G$4:$G$173,$A68,Bitacora_Iteraciones!$E$4:$E$173,$B68,Bitacora_Iteraciones!$H$4:$H$173,$C68,Bitacora_Iteraciones!$M$4:$M$173,"Falla")&gt;0,"Sí",IF(COUNTIFS(Bitacora_Iteraciones!$G$4:$G$173,$A68,Bitacora_Iteraciones!$E$4:$E$173,$B68,Bitacora_Iteraciones!$H$4:$H$173,$C68)=0,"","No"))</f>
        <v/>
      </c>
      <c r="H68" s="21" t="str">
        <f>IF(COUNTIFS(Bitacora_Iteraciones!$G$4:$G$173,$A68,Bitacora_Iteraciones!$E$4:$E$173,$B68,Bitacora_Iteraciones!$H$4:$H$173,$C68,Bitacora_Iteraciones!$N$4:$N$173,"Sí")&gt;0,"Sí",IF(COUNTIFS(Bitacora_Iteraciones!$G$4:$G$173,$A68,Bitacora_Iteraciones!$E$4:$E$173,$B68,Bitacora_Iteraciones!$H$4:$H$173,$C68)=0,"","No"))</f>
        <v/>
      </c>
      <c r="I68" s="21">
        <f>SUMIFS(Bitacora_Iteraciones!$O$4:$O$173,Bitacora_Iteraciones!$G$4:$G$173,$A68,Bitacora_Iteraciones!$E$4:$E$173,$B68,Bitacora_Iteraciones!$H$4:$H$173,$C68)</f>
        <v>0</v>
      </c>
    </row>
    <row r="69" spans="1:9" ht="15.75" customHeight="1" x14ac:dyDescent="0.25">
      <c r="A69" s="20" t="s">
        <v>136</v>
      </c>
      <c r="B69" s="20" t="s">
        <v>188</v>
      </c>
      <c r="C69" s="20">
        <v>3</v>
      </c>
      <c r="D69" s="21">
        <f>COUNTIFS(Bitacora_Iteraciones!$G$4:$G$173,$A69,Bitacora_Iteraciones!$E$4:$E$173,$B69,Bitacora_Iteraciones!$H$4:$H$173,$C69)</f>
        <v>0</v>
      </c>
      <c r="E69" s="21" t="str">
        <f>IFERROR(IF(INDEX(Bitacora_Iteraciones!$L$4:$L$173,MATCH($A69&amp;"|"&amp;$B69&amp;"|"&amp;$C69&amp;"|"&amp;1,Bitacora_Iteraciones!$R$4:$R$173,0))="Pasa","Sí","No"),"")</f>
        <v/>
      </c>
      <c r="F69" s="21" t="str">
        <f>IFERROR(IF(INDEX(Bitacora_Iteraciones!$L$4:$L$173,MATCH($A69&amp;"|"&amp;$B69&amp;"|"&amp;$C69&amp;"|"&amp;_xlfn.MAXIFS(Bitacora_Iteraciones!$I$4:$I$173,Bitacora_Iteraciones!$G$4:$G$173,$A69,Bitacora_Iteraciones!$E$4:$E$173,$B69,Bitacora_Iteraciones!$H$4:$H$173,$C69),Bitacora_Iteraciones!$R$4:$R$173,0))="Pasa","Sí","No"),"")</f>
        <v/>
      </c>
      <c r="G69" s="21" t="str">
        <f>IF(COUNTIFS(Bitacora_Iteraciones!$G$4:$G$173,$A69,Bitacora_Iteraciones!$E$4:$E$173,$B69,Bitacora_Iteraciones!$H$4:$H$173,$C69,Bitacora_Iteraciones!$M$4:$M$173,"Falla")&gt;0,"Sí",IF(COUNTIFS(Bitacora_Iteraciones!$G$4:$G$173,$A69,Bitacora_Iteraciones!$E$4:$E$173,$B69,Bitacora_Iteraciones!$H$4:$H$173,$C69)=0,"","No"))</f>
        <v/>
      </c>
      <c r="H69" s="21" t="str">
        <f>IF(COUNTIFS(Bitacora_Iteraciones!$G$4:$G$173,$A69,Bitacora_Iteraciones!$E$4:$E$173,$B69,Bitacora_Iteraciones!$H$4:$H$173,$C69,Bitacora_Iteraciones!$N$4:$N$173,"Sí")&gt;0,"Sí",IF(COUNTIFS(Bitacora_Iteraciones!$G$4:$G$173,$A69,Bitacora_Iteraciones!$E$4:$E$173,$B69,Bitacora_Iteraciones!$H$4:$H$173,$C69)=0,"","No"))</f>
        <v/>
      </c>
      <c r="I69" s="21">
        <f>SUMIFS(Bitacora_Iteraciones!$O$4:$O$173,Bitacora_Iteraciones!$G$4:$G$173,$A69,Bitacora_Iteraciones!$E$4:$E$173,$B69,Bitacora_Iteraciones!$H$4:$H$173,$C69)</f>
        <v>0</v>
      </c>
    </row>
    <row r="70" spans="1:9" ht="15.75" customHeight="1" x14ac:dyDescent="0.25">
      <c r="A70" s="20" t="s">
        <v>141</v>
      </c>
      <c r="B70" s="20" t="s">
        <v>173</v>
      </c>
      <c r="C70" s="20">
        <v>1</v>
      </c>
      <c r="D70" s="21">
        <f>COUNTIFS(Bitacora_Iteraciones!$G$4:$G$173,$A70,Bitacora_Iteraciones!$E$4:$E$173,$B70,Bitacora_Iteraciones!$H$4:$H$173,$C70)</f>
        <v>0</v>
      </c>
      <c r="E70" s="21" t="str">
        <f>IFERROR(IF(INDEX(Bitacora_Iteraciones!$L$4:$L$173,MATCH($A70&amp;"|"&amp;$B70&amp;"|"&amp;$C70&amp;"|"&amp;1,Bitacora_Iteraciones!$R$4:$R$173,0))="Pasa","Sí","No"),"")</f>
        <v/>
      </c>
      <c r="F70" s="21" t="str">
        <f>IFERROR(IF(INDEX(Bitacora_Iteraciones!$L$4:$L$173,MATCH($A70&amp;"|"&amp;$B70&amp;"|"&amp;$C70&amp;"|"&amp;_xlfn.MAXIFS(Bitacora_Iteraciones!$I$4:$I$173,Bitacora_Iteraciones!$G$4:$G$173,$A70,Bitacora_Iteraciones!$E$4:$E$173,$B70,Bitacora_Iteraciones!$H$4:$H$173,$C70),Bitacora_Iteraciones!$R$4:$R$173,0))="Pasa","Sí","No"),"")</f>
        <v/>
      </c>
      <c r="G70" s="21" t="str">
        <f>IF(COUNTIFS(Bitacora_Iteraciones!$G$4:$G$173,$A70,Bitacora_Iteraciones!$E$4:$E$173,$B70,Bitacora_Iteraciones!$H$4:$H$173,$C70,Bitacora_Iteraciones!$M$4:$M$173,"Falla")&gt;0,"Sí",IF(COUNTIFS(Bitacora_Iteraciones!$G$4:$G$173,$A70,Bitacora_Iteraciones!$E$4:$E$173,$B70,Bitacora_Iteraciones!$H$4:$H$173,$C70)=0,"","No"))</f>
        <v/>
      </c>
      <c r="H70" s="21" t="str">
        <f>IF(COUNTIFS(Bitacora_Iteraciones!$G$4:$G$173,$A70,Bitacora_Iteraciones!$E$4:$E$173,$B70,Bitacora_Iteraciones!$H$4:$H$173,$C70,Bitacora_Iteraciones!$N$4:$N$173,"Sí")&gt;0,"Sí",IF(COUNTIFS(Bitacora_Iteraciones!$G$4:$G$173,$A70,Bitacora_Iteraciones!$E$4:$E$173,$B70,Bitacora_Iteraciones!$H$4:$H$173,$C70)=0,"","No"))</f>
        <v/>
      </c>
      <c r="I70" s="21">
        <f>SUMIFS(Bitacora_Iteraciones!$O$4:$O$173,Bitacora_Iteraciones!$G$4:$G$173,$A70,Bitacora_Iteraciones!$E$4:$E$173,$B70,Bitacora_Iteraciones!$H$4:$H$173,$C70)</f>
        <v>0</v>
      </c>
    </row>
    <row r="71" spans="1:9" ht="15.75" customHeight="1" x14ac:dyDescent="0.25">
      <c r="A71" s="20" t="s">
        <v>141</v>
      </c>
      <c r="B71" s="20" t="s">
        <v>173</v>
      </c>
      <c r="C71" s="20">
        <v>2</v>
      </c>
      <c r="D71" s="21">
        <f>COUNTIFS(Bitacora_Iteraciones!$G$4:$G$173,$A71,Bitacora_Iteraciones!$E$4:$E$173,$B71,Bitacora_Iteraciones!$H$4:$H$173,$C71)</f>
        <v>0</v>
      </c>
      <c r="E71" s="21" t="str">
        <f>IFERROR(IF(INDEX(Bitacora_Iteraciones!$L$4:$L$173,MATCH($A71&amp;"|"&amp;$B71&amp;"|"&amp;$C71&amp;"|"&amp;1,Bitacora_Iteraciones!$R$4:$R$173,0))="Pasa","Sí","No"),"")</f>
        <v/>
      </c>
      <c r="F71" s="21" t="str">
        <f>IFERROR(IF(INDEX(Bitacora_Iteraciones!$L$4:$L$173,MATCH($A71&amp;"|"&amp;$B71&amp;"|"&amp;$C71&amp;"|"&amp;_xlfn.MAXIFS(Bitacora_Iteraciones!$I$4:$I$173,Bitacora_Iteraciones!$G$4:$G$173,$A71,Bitacora_Iteraciones!$E$4:$E$173,$B71,Bitacora_Iteraciones!$H$4:$H$173,$C71),Bitacora_Iteraciones!$R$4:$R$173,0))="Pasa","Sí","No"),"")</f>
        <v/>
      </c>
      <c r="G71" s="21" t="str">
        <f>IF(COUNTIFS(Bitacora_Iteraciones!$G$4:$G$173,$A71,Bitacora_Iteraciones!$E$4:$E$173,$B71,Bitacora_Iteraciones!$H$4:$H$173,$C71,Bitacora_Iteraciones!$M$4:$M$173,"Falla")&gt;0,"Sí",IF(COUNTIFS(Bitacora_Iteraciones!$G$4:$G$173,$A71,Bitacora_Iteraciones!$E$4:$E$173,$B71,Bitacora_Iteraciones!$H$4:$H$173,$C71)=0,"","No"))</f>
        <v/>
      </c>
      <c r="H71" s="21" t="str">
        <f>IF(COUNTIFS(Bitacora_Iteraciones!$G$4:$G$173,$A71,Bitacora_Iteraciones!$E$4:$E$173,$B71,Bitacora_Iteraciones!$H$4:$H$173,$C71,Bitacora_Iteraciones!$N$4:$N$173,"Sí")&gt;0,"Sí",IF(COUNTIFS(Bitacora_Iteraciones!$G$4:$G$173,$A71,Bitacora_Iteraciones!$E$4:$E$173,$B71,Bitacora_Iteraciones!$H$4:$H$173,$C71)=0,"","No"))</f>
        <v/>
      </c>
      <c r="I71" s="21">
        <f>SUMIFS(Bitacora_Iteraciones!$O$4:$O$173,Bitacora_Iteraciones!$G$4:$G$173,$A71,Bitacora_Iteraciones!$E$4:$E$173,$B71,Bitacora_Iteraciones!$H$4:$H$173,$C71)</f>
        <v>0</v>
      </c>
    </row>
    <row r="72" spans="1:9" ht="15.75" customHeight="1" x14ac:dyDescent="0.25">
      <c r="A72" s="20" t="s">
        <v>141</v>
      </c>
      <c r="B72" s="20" t="s">
        <v>173</v>
      </c>
      <c r="C72" s="20">
        <v>3</v>
      </c>
      <c r="D72" s="21">
        <f>COUNTIFS(Bitacora_Iteraciones!$G$4:$G$173,$A72,Bitacora_Iteraciones!$E$4:$E$173,$B72,Bitacora_Iteraciones!$H$4:$H$173,$C72)</f>
        <v>0</v>
      </c>
      <c r="E72" s="21" t="str">
        <f>IFERROR(IF(INDEX(Bitacora_Iteraciones!$L$4:$L$173,MATCH($A72&amp;"|"&amp;$B72&amp;"|"&amp;$C72&amp;"|"&amp;1,Bitacora_Iteraciones!$R$4:$R$173,0))="Pasa","Sí","No"),"")</f>
        <v/>
      </c>
      <c r="F72" s="21" t="str">
        <f>IFERROR(IF(INDEX(Bitacora_Iteraciones!$L$4:$L$173,MATCH($A72&amp;"|"&amp;$B72&amp;"|"&amp;$C72&amp;"|"&amp;_xlfn.MAXIFS(Bitacora_Iteraciones!$I$4:$I$173,Bitacora_Iteraciones!$G$4:$G$173,$A72,Bitacora_Iteraciones!$E$4:$E$173,$B72,Bitacora_Iteraciones!$H$4:$H$173,$C72),Bitacora_Iteraciones!$R$4:$R$173,0))="Pasa","Sí","No"),"")</f>
        <v/>
      </c>
      <c r="G72" s="21" t="str">
        <f>IF(COUNTIFS(Bitacora_Iteraciones!$G$4:$G$173,$A72,Bitacora_Iteraciones!$E$4:$E$173,$B72,Bitacora_Iteraciones!$H$4:$H$173,$C72,Bitacora_Iteraciones!$M$4:$M$173,"Falla")&gt;0,"Sí",IF(COUNTIFS(Bitacora_Iteraciones!$G$4:$G$173,$A72,Bitacora_Iteraciones!$E$4:$E$173,$B72,Bitacora_Iteraciones!$H$4:$H$173,$C72)=0,"","No"))</f>
        <v/>
      </c>
      <c r="H72" s="21" t="str">
        <f>IF(COUNTIFS(Bitacora_Iteraciones!$G$4:$G$173,$A72,Bitacora_Iteraciones!$E$4:$E$173,$B72,Bitacora_Iteraciones!$H$4:$H$173,$C72,Bitacora_Iteraciones!$N$4:$N$173,"Sí")&gt;0,"Sí",IF(COUNTIFS(Bitacora_Iteraciones!$G$4:$G$173,$A72,Bitacora_Iteraciones!$E$4:$E$173,$B72,Bitacora_Iteraciones!$H$4:$H$173,$C72)=0,"","No"))</f>
        <v/>
      </c>
      <c r="I72" s="21">
        <f>SUMIFS(Bitacora_Iteraciones!$O$4:$O$173,Bitacora_Iteraciones!$G$4:$G$173,$A72,Bitacora_Iteraciones!$E$4:$E$173,$B72,Bitacora_Iteraciones!$H$4:$H$173,$C72)</f>
        <v>0</v>
      </c>
    </row>
    <row r="73" spans="1:9" ht="15.75" customHeight="1" x14ac:dyDescent="0.25">
      <c r="A73" s="20" t="s">
        <v>141</v>
      </c>
      <c r="B73" s="20" t="s">
        <v>188</v>
      </c>
      <c r="C73" s="20">
        <v>1</v>
      </c>
      <c r="D73" s="21">
        <f>COUNTIFS(Bitacora_Iteraciones!$G$4:$G$173,$A73,Bitacora_Iteraciones!$E$4:$E$173,$B73,Bitacora_Iteraciones!$H$4:$H$173,$C73)</f>
        <v>0</v>
      </c>
      <c r="E73" s="21" t="str">
        <f>IFERROR(IF(INDEX(Bitacora_Iteraciones!$L$4:$L$173,MATCH($A73&amp;"|"&amp;$B73&amp;"|"&amp;$C73&amp;"|"&amp;1,Bitacora_Iteraciones!$R$4:$R$173,0))="Pasa","Sí","No"),"")</f>
        <v/>
      </c>
      <c r="F73" s="21" t="str">
        <f>IFERROR(IF(INDEX(Bitacora_Iteraciones!$L$4:$L$173,MATCH($A73&amp;"|"&amp;$B73&amp;"|"&amp;$C73&amp;"|"&amp;_xlfn.MAXIFS(Bitacora_Iteraciones!$I$4:$I$173,Bitacora_Iteraciones!$G$4:$G$173,$A73,Bitacora_Iteraciones!$E$4:$E$173,$B73,Bitacora_Iteraciones!$H$4:$H$173,$C73),Bitacora_Iteraciones!$R$4:$R$173,0))="Pasa","Sí","No"),"")</f>
        <v/>
      </c>
      <c r="G73" s="21" t="str">
        <f>IF(COUNTIFS(Bitacora_Iteraciones!$G$4:$G$173,$A73,Bitacora_Iteraciones!$E$4:$E$173,$B73,Bitacora_Iteraciones!$H$4:$H$173,$C73,Bitacora_Iteraciones!$M$4:$M$173,"Falla")&gt;0,"Sí",IF(COUNTIFS(Bitacora_Iteraciones!$G$4:$G$173,$A73,Bitacora_Iteraciones!$E$4:$E$173,$B73,Bitacora_Iteraciones!$H$4:$H$173,$C73)=0,"","No"))</f>
        <v/>
      </c>
      <c r="H73" s="21" t="str">
        <f>IF(COUNTIFS(Bitacora_Iteraciones!$G$4:$G$173,$A73,Bitacora_Iteraciones!$E$4:$E$173,$B73,Bitacora_Iteraciones!$H$4:$H$173,$C73,Bitacora_Iteraciones!$N$4:$N$173,"Sí")&gt;0,"Sí",IF(COUNTIFS(Bitacora_Iteraciones!$G$4:$G$173,$A73,Bitacora_Iteraciones!$E$4:$E$173,$B73,Bitacora_Iteraciones!$H$4:$H$173,$C73)=0,"","No"))</f>
        <v/>
      </c>
      <c r="I73" s="21">
        <f>SUMIFS(Bitacora_Iteraciones!$O$4:$O$173,Bitacora_Iteraciones!$G$4:$G$173,$A73,Bitacora_Iteraciones!$E$4:$E$173,$B73,Bitacora_Iteraciones!$H$4:$H$173,$C73)</f>
        <v>0</v>
      </c>
    </row>
    <row r="74" spans="1:9" ht="15.75" customHeight="1" x14ac:dyDescent="0.25">
      <c r="A74" s="20" t="s">
        <v>141</v>
      </c>
      <c r="B74" s="20" t="s">
        <v>188</v>
      </c>
      <c r="C74" s="20">
        <v>2</v>
      </c>
      <c r="D74" s="21">
        <f>COUNTIFS(Bitacora_Iteraciones!$G$4:$G$173,$A74,Bitacora_Iteraciones!$E$4:$E$173,$B74,Bitacora_Iteraciones!$H$4:$H$173,$C74)</f>
        <v>0</v>
      </c>
      <c r="E74" s="21" t="str">
        <f>IFERROR(IF(INDEX(Bitacora_Iteraciones!$L$4:$L$173,MATCH($A74&amp;"|"&amp;$B74&amp;"|"&amp;$C74&amp;"|"&amp;1,Bitacora_Iteraciones!$R$4:$R$173,0))="Pasa","Sí","No"),"")</f>
        <v/>
      </c>
      <c r="F74" s="21" t="str">
        <f>IFERROR(IF(INDEX(Bitacora_Iteraciones!$L$4:$L$173,MATCH($A74&amp;"|"&amp;$B74&amp;"|"&amp;$C74&amp;"|"&amp;_xlfn.MAXIFS(Bitacora_Iteraciones!$I$4:$I$173,Bitacora_Iteraciones!$G$4:$G$173,$A74,Bitacora_Iteraciones!$E$4:$E$173,$B74,Bitacora_Iteraciones!$H$4:$H$173,$C74),Bitacora_Iteraciones!$R$4:$R$173,0))="Pasa","Sí","No"),"")</f>
        <v/>
      </c>
      <c r="G74" s="21" t="str">
        <f>IF(COUNTIFS(Bitacora_Iteraciones!$G$4:$G$173,$A74,Bitacora_Iteraciones!$E$4:$E$173,$B74,Bitacora_Iteraciones!$H$4:$H$173,$C74,Bitacora_Iteraciones!$M$4:$M$173,"Falla")&gt;0,"Sí",IF(COUNTIFS(Bitacora_Iteraciones!$G$4:$G$173,$A74,Bitacora_Iteraciones!$E$4:$E$173,$B74,Bitacora_Iteraciones!$H$4:$H$173,$C74)=0,"","No"))</f>
        <v/>
      </c>
      <c r="H74" s="21" t="str">
        <f>IF(COUNTIFS(Bitacora_Iteraciones!$G$4:$G$173,$A74,Bitacora_Iteraciones!$E$4:$E$173,$B74,Bitacora_Iteraciones!$H$4:$H$173,$C74,Bitacora_Iteraciones!$N$4:$N$173,"Sí")&gt;0,"Sí",IF(COUNTIFS(Bitacora_Iteraciones!$G$4:$G$173,$A74,Bitacora_Iteraciones!$E$4:$E$173,$B74,Bitacora_Iteraciones!$H$4:$H$173,$C74)=0,"","No"))</f>
        <v/>
      </c>
      <c r="I74" s="21">
        <f>SUMIFS(Bitacora_Iteraciones!$O$4:$O$173,Bitacora_Iteraciones!$G$4:$G$173,$A74,Bitacora_Iteraciones!$E$4:$E$173,$B74,Bitacora_Iteraciones!$H$4:$H$173,$C74)</f>
        <v>0</v>
      </c>
    </row>
    <row r="75" spans="1:9" ht="15.75" customHeight="1" x14ac:dyDescent="0.25">
      <c r="A75" s="20" t="s">
        <v>141</v>
      </c>
      <c r="B75" s="20" t="s">
        <v>188</v>
      </c>
      <c r="C75" s="20">
        <v>3</v>
      </c>
      <c r="D75" s="21">
        <f>COUNTIFS(Bitacora_Iteraciones!$G$4:$G$173,$A75,Bitacora_Iteraciones!$E$4:$E$173,$B75,Bitacora_Iteraciones!$H$4:$H$173,$C75)</f>
        <v>0</v>
      </c>
      <c r="E75" s="21" t="str">
        <f>IFERROR(IF(INDEX(Bitacora_Iteraciones!$L$4:$L$173,MATCH($A75&amp;"|"&amp;$B75&amp;"|"&amp;$C75&amp;"|"&amp;1,Bitacora_Iteraciones!$R$4:$R$173,0))="Pasa","Sí","No"),"")</f>
        <v/>
      </c>
      <c r="F75" s="21" t="str">
        <f>IFERROR(IF(INDEX(Bitacora_Iteraciones!$L$4:$L$173,MATCH($A75&amp;"|"&amp;$B75&amp;"|"&amp;$C75&amp;"|"&amp;_xlfn.MAXIFS(Bitacora_Iteraciones!$I$4:$I$173,Bitacora_Iteraciones!$G$4:$G$173,$A75,Bitacora_Iteraciones!$E$4:$E$173,$B75,Bitacora_Iteraciones!$H$4:$H$173,$C75),Bitacora_Iteraciones!$R$4:$R$173,0))="Pasa","Sí","No"),"")</f>
        <v/>
      </c>
      <c r="G75" s="21" t="str">
        <f>IF(COUNTIFS(Bitacora_Iteraciones!$G$4:$G$173,$A75,Bitacora_Iteraciones!$E$4:$E$173,$B75,Bitacora_Iteraciones!$H$4:$H$173,$C75,Bitacora_Iteraciones!$M$4:$M$173,"Falla")&gt;0,"Sí",IF(COUNTIFS(Bitacora_Iteraciones!$G$4:$G$173,$A75,Bitacora_Iteraciones!$E$4:$E$173,$B75,Bitacora_Iteraciones!$H$4:$H$173,$C75)=0,"","No"))</f>
        <v/>
      </c>
      <c r="H75" s="21" t="str">
        <f>IF(COUNTIFS(Bitacora_Iteraciones!$G$4:$G$173,$A75,Bitacora_Iteraciones!$E$4:$E$173,$B75,Bitacora_Iteraciones!$H$4:$H$173,$C75,Bitacora_Iteraciones!$N$4:$N$173,"Sí")&gt;0,"Sí",IF(COUNTIFS(Bitacora_Iteraciones!$G$4:$G$173,$A75,Bitacora_Iteraciones!$E$4:$E$173,$B75,Bitacora_Iteraciones!$H$4:$H$173,$C75)=0,"","No"))</f>
        <v/>
      </c>
      <c r="I75" s="21">
        <f>SUMIFS(Bitacora_Iteraciones!$O$4:$O$173,Bitacora_Iteraciones!$G$4:$G$173,$A75,Bitacora_Iteraciones!$E$4:$E$173,$B75,Bitacora_Iteraciones!$H$4:$H$173,$C75)</f>
        <v>0</v>
      </c>
    </row>
    <row r="76" spans="1:9" ht="15.75" customHeight="1" x14ac:dyDescent="0.25">
      <c r="A76" s="20" t="s">
        <v>143</v>
      </c>
      <c r="B76" s="20" t="s">
        <v>173</v>
      </c>
      <c r="C76" s="20">
        <v>1</v>
      </c>
      <c r="D76" s="21">
        <f>COUNTIFS(Bitacora_Iteraciones!$G$4:$G$173,$A76,Bitacora_Iteraciones!$E$4:$E$173,$B76,Bitacora_Iteraciones!$H$4:$H$173,$C76)</f>
        <v>0</v>
      </c>
      <c r="E76" s="21" t="str">
        <f>IFERROR(IF(INDEX(Bitacora_Iteraciones!$L$4:$L$173,MATCH($A76&amp;"|"&amp;$B76&amp;"|"&amp;$C76&amp;"|"&amp;1,Bitacora_Iteraciones!$R$4:$R$173,0))="Pasa","Sí","No"),"")</f>
        <v/>
      </c>
      <c r="F76" s="21" t="str">
        <f>IFERROR(IF(INDEX(Bitacora_Iteraciones!$L$4:$L$173,MATCH($A76&amp;"|"&amp;$B76&amp;"|"&amp;$C76&amp;"|"&amp;_xlfn.MAXIFS(Bitacora_Iteraciones!$I$4:$I$173,Bitacora_Iteraciones!$G$4:$G$173,$A76,Bitacora_Iteraciones!$E$4:$E$173,$B76,Bitacora_Iteraciones!$H$4:$H$173,$C76),Bitacora_Iteraciones!$R$4:$R$173,0))="Pasa","Sí","No"),"")</f>
        <v/>
      </c>
      <c r="G76" s="21" t="str">
        <f>IF(COUNTIFS(Bitacora_Iteraciones!$G$4:$G$173,$A76,Bitacora_Iteraciones!$E$4:$E$173,$B76,Bitacora_Iteraciones!$H$4:$H$173,$C76,Bitacora_Iteraciones!$M$4:$M$173,"Falla")&gt;0,"Sí",IF(COUNTIFS(Bitacora_Iteraciones!$G$4:$G$173,$A76,Bitacora_Iteraciones!$E$4:$E$173,$B76,Bitacora_Iteraciones!$H$4:$H$173,$C76)=0,"","No"))</f>
        <v/>
      </c>
      <c r="H76" s="21" t="str">
        <f>IF(COUNTIFS(Bitacora_Iteraciones!$G$4:$G$173,$A76,Bitacora_Iteraciones!$E$4:$E$173,$B76,Bitacora_Iteraciones!$H$4:$H$173,$C76,Bitacora_Iteraciones!$N$4:$N$173,"Sí")&gt;0,"Sí",IF(COUNTIFS(Bitacora_Iteraciones!$G$4:$G$173,$A76,Bitacora_Iteraciones!$E$4:$E$173,$B76,Bitacora_Iteraciones!$H$4:$H$173,$C76)=0,"","No"))</f>
        <v/>
      </c>
      <c r="I76" s="21">
        <f>SUMIFS(Bitacora_Iteraciones!$O$4:$O$173,Bitacora_Iteraciones!$G$4:$G$173,$A76,Bitacora_Iteraciones!$E$4:$E$173,$B76,Bitacora_Iteraciones!$H$4:$H$173,$C76)</f>
        <v>0</v>
      </c>
    </row>
    <row r="77" spans="1:9" ht="15.75" customHeight="1" x14ac:dyDescent="0.25">
      <c r="A77" s="20" t="s">
        <v>143</v>
      </c>
      <c r="B77" s="20" t="s">
        <v>173</v>
      </c>
      <c r="C77" s="20">
        <v>2</v>
      </c>
      <c r="D77" s="21">
        <f>COUNTIFS(Bitacora_Iteraciones!$G$4:$G$173,$A77,Bitacora_Iteraciones!$E$4:$E$173,$B77,Bitacora_Iteraciones!$H$4:$H$173,$C77)</f>
        <v>0</v>
      </c>
      <c r="E77" s="21" t="str">
        <f>IFERROR(IF(INDEX(Bitacora_Iteraciones!$L$4:$L$173,MATCH($A77&amp;"|"&amp;$B77&amp;"|"&amp;$C77&amp;"|"&amp;1,Bitacora_Iteraciones!$R$4:$R$173,0))="Pasa","Sí","No"),"")</f>
        <v/>
      </c>
      <c r="F77" s="21" t="str">
        <f>IFERROR(IF(INDEX(Bitacora_Iteraciones!$L$4:$L$173,MATCH($A77&amp;"|"&amp;$B77&amp;"|"&amp;$C77&amp;"|"&amp;_xlfn.MAXIFS(Bitacora_Iteraciones!$I$4:$I$173,Bitacora_Iteraciones!$G$4:$G$173,$A77,Bitacora_Iteraciones!$E$4:$E$173,$B77,Bitacora_Iteraciones!$H$4:$H$173,$C77),Bitacora_Iteraciones!$R$4:$R$173,0))="Pasa","Sí","No"),"")</f>
        <v/>
      </c>
      <c r="G77" s="21" t="str">
        <f>IF(COUNTIFS(Bitacora_Iteraciones!$G$4:$G$173,$A77,Bitacora_Iteraciones!$E$4:$E$173,$B77,Bitacora_Iteraciones!$H$4:$H$173,$C77,Bitacora_Iteraciones!$M$4:$M$173,"Falla")&gt;0,"Sí",IF(COUNTIFS(Bitacora_Iteraciones!$G$4:$G$173,$A77,Bitacora_Iteraciones!$E$4:$E$173,$B77,Bitacora_Iteraciones!$H$4:$H$173,$C77)=0,"","No"))</f>
        <v/>
      </c>
      <c r="H77" s="21" t="str">
        <f>IF(COUNTIFS(Bitacora_Iteraciones!$G$4:$G$173,$A77,Bitacora_Iteraciones!$E$4:$E$173,$B77,Bitacora_Iteraciones!$H$4:$H$173,$C77,Bitacora_Iteraciones!$N$4:$N$173,"Sí")&gt;0,"Sí",IF(COUNTIFS(Bitacora_Iteraciones!$G$4:$G$173,$A77,Bitacora_Iteraciones!$E$4:$E$173,$B77,Bitacora_Iteraciones!$H$4:$H$173,$C77)=0,"","No"))</f>
        <v/>
      </c>
      <c r="I77" s="21">
        <f>SUMIFS(Bitacora_Iteraciones!$O$4:$O$173,Bitacora_Iteraciones!$G$4:$G$173,$A77,Bitacora_Iteraciones!$E$4:$E$173,$B77,Bitacora_Iteraciones!$H$4:$H$173,$C77)</f>
        <v>0</v>
      </c>
    </row>
    <row r="78" spans="1:9" ht="15.75" customHeight="1" x14ac:dyDescent="0.25">
      <c r="A78" s="20" t="s">
        <v>143</v>
      </c>
      <c r="B78" s="20" t="s">
        <v>173</v>
      </c>
      <c r="C78" s="20">
        <v>3</v>
      </c>
      <c r="D78" s="21">
        <f>COUNTIFS(Bitacora_Iteraciones!$G$4:$G$173,$A78,Bitacora_Iteraciones!$E$4:$E$173,$B78,Bitacora_Iteraciones!$H$4:$H$173,$C78)</f>
        <v>0</v>
      </c>
      <c r="E78" s="21" t="str">
        <f>IFERROR(IF(INDEX(Bitacora_Iteraciones!$L$4:$L$173,MATCH($A78&amp;"|"&amp;$B78&amp;"|"&amp;$C78&amp;"|"&amp;1,Bitacora_Iteraciones!$R$4:$R$173,0))="Pasa","Sí","No"),"")</f>
        <v/>
      </c>
      <c r="F78" s="21" t="str">
        <f>IFERROR(IF(INDEX(Bitacora_Iteraciones!$L$4:$L$173,MATCH($A78&amp;"|"&amp;$B78&amp;"|"&amp;$C78&amp;"|"&amp;_xlfn.MAXIFS(Bitacora_Iteraciones!$I$4:$I$173,Bitacora_Iteraciones!$G$4:$G$173,$A78,Bitacora_Iteraciones!$E$4:$E$173,$B78,Bitacora_Iteraciones!$H$4:$H$173,$C78),Bitacora_Iteraciones!$R$4:$R$173,0))="Pasa","Sí","No"),"")</f>
        <v/>
      </c>
      <c r="G78" s="21" t="str">
        <f>IF(COUNTIFS(Bitacora_Iteraciones!$G$4:$G$173,$A78,Bitacora_Iteraciones!$E$4:$E$173,$B78,Bitacora_Iteraciones!$H$4:$H$173,$C78,Bitacora_Iteraciones!$M$4:$M$173,"Falla")&gt;0,"Sí",IF(COUNTIFS(Bitacora_Iteraciones!$G$4:$G$173,$A78,Bitacora_Iteraciones!$E$4:$E$173,$B78,Bitacora_Iteraciones!$H$4:$H$173,$C78)=0,"","No"))</f>
        <v/>
      </c>
      <c r="H78" s="21" t="str">
        <f>IF(COUNTIFS(Bitacora_Iteraciones!$G$4:$G$173,$A78,Bitacora_Iteraciones!$E$4:$E$173,$B78,Bitacora_Iteraciones!$H$4:$H$173,$C78,Bitacora_Iteraciones!$N$4:$N$173,"Sí")&gt;0,"Sí",IF(COUNTIFS(Bitacora_Iteraciones!$G$4:$G$173,$A78,Bitacora_Iteraciones!$E$4:$E$173,$B78,Bitacora_Iteraciones!$H$4:$H$173,$C78)=0,"","No"))</f>
        <v/>
      </c>
      <c r="I78" s="21">
        <f>SUMIFS(Bitacora_Iteraciones!$O$4:$O$173,Bitacora_Iteraciones!$G$4:$G$173,$A78,Bitacora_Iteraciones!$E$4:$E$173,$B78,Bitacora_Iteraciones!$H$4:$H$173,$C78)</f>
        <v>0</v>
      </c>
    </row>
    <row r="79" spans="1:9" ht="15.75" customHeight="1" x14ac:dyDescent="0.25">
      <c r="A79" s="20" t="s">
        <v>143</v>
      </c>
      <c r="B79" s="20" t="s">
        <v>188</v>
      </c>
      <c r="C79" s="20">
        <v>1</v>
      </c>
      <c r="D79" s="21">
        <f>COUNTIFS(Bitacora_Iteraciones!$G$4:$G$173,$A79,Bitacora_Iteraciones!$E$4:$E$173,$B79,Bitacora_Iteraciones!$H$4:$H$173,$C79)</f>
        <v>0</v>
      </c>
      <c r="E79" s="21" t="str">
        <f>IFERROR(IF(INDEX(Bitacora_Iteraciones!$L$4:$L$173,MATCH($A79&amp;"|"&amp;$B79&amp;"|"&amp;$C79&amp;"|"&amp;1,Bitacora_Iteraciones!$R$4:$R$173,0))="Pasa","Sí","No"),"")</f>
        <v/>
      </c>
      <c r="F79" s="21" t="str">
        <f>IFERROR(IF(INDEX(Bitacora_Iteraciones!$L$4:$L$173,MATCH($A79&amp;"|"&amp;$B79&amp;"|"&amp;$C79&amp;"|"&amp;_xlfn.MAXIFS(Bitacora_Iteraciones!$I$4:$I$173,Bitacora_Iteraciones!$G$4:$G$173,$A79,Bitacora_Iteraciones!$E$4:$E$173,$B79,Bitacora_Iteraciones!$H$4:$H$173,$C79),Bitacora_Iteraciones!$R$4:$R$173,0))="Pasa","Sí","No"),"")</f>
        <v/>
      </c>
      <c r="G79" s="21" t="str">
        <f>IF(COUNTIFS(Bitacora_Iteraciones!$G$4:$G$173,$A79,Bitacora_Iteraciones!$E$4:$E$173,$B79,Bitacora_Iteraciones!$H$4:$H$173,$C79,Bitacora_Iteraciones!$M$4:$M$173,"Falla")&gt;0,"Sí",IF(COUNTIFS(Bitacora_Iteraciones!$G$4:$G$173,$A79,Bitacora_Iteraciones!$E$4:$E$173,$B79,Bitacora_Iteraciones!$H$4:$H$173,$C79)=0,"","No"))</f>
        <v/>
      </c>
      <c r="H79" s="21" t="str">
        <f>IF(COUNTIFS(Bitacora_Iteraciones!$G$4:$G$173,$A79,Bitacora_Iteraciones!$E$4:$E$173,$B79,Bitacora_Iteraciones!$H$4:$H$173,$C79,Bitacora_Iteraciones!$N$4:$N$173,"Sí")&gt;0,"Sí",IF(COUNTIFS(Bitacora_Iteraciones!$G$4:$G$173,$A79,Bitacora_Iteraciones!$E$4:$E$173,$B79,Bitacora_Iteraciones!$H$4:$H$173,$C79)=0,"","No"))</f>
        <v/>
      </c>
      <c r="I79" s="21">
        <f>SUMIFS(Bitacora_Iteraciones!$O$4:$O$173,Bitacora_Iteraciones!$G$4:$G$173,$A79,Bitacora_Iteraciones!$E$4:$E$173,$B79,Bitacora_Iteraciones!$H$4:$H$173,$C79)</f>
        <v>0</v>
      </c>
    </row>
    <row r="80" spans="1:9" ht="15.75" customHeight="1" x14ac:dyDescent="0.25">
      <c r="A80" s="20" t="s">
        <v>143</v>
      </c>
      <c r="B80" s="20" t="s">
        <v>188</v>
      </c>
      <c r="C80" s="20">
        <v>2</v>
      </c>
      <c r="D80" s="21">
        <f>COUNTIFS(Bitacora_Iteraciones!$G$4:$G$173,$A80,Bitacora_Iteraciones!$E$4:$E$173,$B80,Bitacora_Iteraciones!$H$4:$H$173,$C80)</f>
        <v>0</v>
      </c>
      <c r="E80" s="21" t="str">
        <f>IFERROR(IF(INDEX(Bitacora_Iteraciones!$L$4:$L$173,MATCH($A80&amp;"|"&amp;$B80&amp;"|"&amp;$C80&amp;"|"&amp;1,Bitacora_Iteraciones!$R$4:$R$173,0))="Pasa","Sí","No"),"")</f>
        <v/>
      </c>
      <c r="F80" s="21" t="str">
        <f>IFERROR(IF(INDEX(Bitacora_Iteraciones!$L$4:$L$173,MATCH($A80&amp;"|"&amp;$B80&amp;"|"&amp;$C80&amp;"|"&amp;_xlfn.MAXIFS(Bitacora_Iteraciones!$I$4:$I$173,Bitacora_Iteraciones!$G$4:$G$173,$A80,Bitacora_Iteraciones!$E$4:$E$173,$B80,Bitacora_Iteraciones!$H$4:$H$173,$C80),Bitacora_Iteraciones!$R$4:$R$173,0))="Pasa","Sí","No"),"")</f>
        <v/>
      </c>
      <c r="G80" s="21" t="str">
        <f>IF(COUNTIFS(Bitacora_Iteraciones!$G$4:$G$173,$A80,Bitacora_Iteraciones!$E$4:$E$173,$B80,Bitacora_Iteraciones!$H$4:$H$173,$C80,Bitacora_Iteraciones!$M$4:$M$173,"Falla")&gt;0,"Sí",IF(COUNTIFS(Bitacora_Iteraciones!$G$4:$G$173,$A80,Bitacora_Iteraciones!$E$4:$E$173,$B80,Bitacora_Iteraciones!$H$4:$H$173,$C80)=0,"","No"))</f>
        <v/>
      </c>
      <c r="H80" s="21" t="str">
        <f>IF(COUNTIFS(Bitacora_Iteraciones!$G$4:$G$173,$A80,Bitacora_Iteraciones!$E$4:$E$173,$B80,Bitacora_Iteraciones!$H$4:$H$173,$C80,Bitacora_Iteraciones!$N$4:$N$173,"Sí")&gt;0,"Sí",IF(COUNTIFS(Bitacora_Iteraciones!$G$4:$G$173,$A80,Bitacora_Iteraciones!$E$4:$E$173,$B80,Bitacora_Iteraciones!$H$4:$H$173,$C80)=0,"","No"))</f>
        <v/>
      </c>
      <c r="I80" s="21">
        <f>SUMIFS(Bitacora_Iteraciones!$O$4:$O$173,Bitacora_Iteraciones!$G$4:$G$173,$A80,Bitacora_Iteraciones!$E$4:$E$173,$B80,Bitacora_Iteraciones!$H$4:$H$173,$C80)</f>
        <v>0</v>
      </c>
    </row>
    <row r="81" spans="1:9" ht="15.75" customHeight="1" x14ac:dyDescent="0.25">
      <c r="A81" s="20" t="s">
        <v>143</v>
      </c>
      <c r="B81" s="20" t="s">
        <v>188</v>
      </c>
      <c r="C81" s="20">
        <v>3</v>
      </c>
      <c r="D81" s="21">
        <f>COUNTIFS(Bitacora_Iteraciones!$G$4:$G$173,$A81,Bitacora_Iteraciones!$E$4:$E$173,$B81,Bitacora_Iteraciones!$H$4:$H$173,$C81)</f>
        <v>0</v>
      </c>
      <c r="E81" s="21" t="str">
        <f>IFERROR(IF(INDEX(Bitacora_Iteraciones!$L$4:$L$173,MATCH($A81&amp;"|"&amp;$B81&amp;"|"&amp;$C81&amp;"|"&amp;1,Bitacora_Iteraciones!$R$4:$R$173,0))="Pasa","Sí","No"),"")</f>
        <v/>
      </c>
      <c r="F81" s="21" t="str">
        <f>IFERROR(IF(INDEX(Bitacora_Iteraciones!$L$4:$L$173,MATCH($A81&amp;"|"&amp;$B81&amp;"|"&amp;$C81&amp;"|"&amp;_xlfn.MAXIFS(Bitacora_Iteraciones!$I$4:$I$173,Bitacora_Iteraciones!$G$4:$G$173,$A81,Bitacora_Iteraciones!$E$4:$E$173,$B81,Bitacora_Iteraciones!$H$4:$H$173,$C81),Bitacora_Iteraciones!$R$4:$R$173,0))="Pasa","Sí","No"),"")</f>
        <v/>
      </c>
      <c r="G81" s="21" t="str">
        <f>IF(COUNTIFS(Bitacora_Iteraciones!$G$4:$G$173,$A81,Bitacora_Iteraciones!$E$4:$E$173,$B81,Bitacora_Iteraciones!$H$4:$H$173,$C81,Bitacora_Iteraciones!$M$4:$M$173,"Falla")&gt;0,"Sí",IF(COUNTIFS(Bitacora_Iteraciones!$G$4:$G$173,$A81,Bitacora_Iteraciones!$E$4:$E$173,$B81,Bitacora_Iteraciones!$H$4:$H$173,$C81)=0,"","No"))</f>
        <v/>
      </c>
      <c r="H81" s="21" t="str">
        <f>IF(COUNTIFS(Bitacora_Iteraciones!$G$4:$G$173,$A81,Bitacora_Iteraciones!$E$4:$E$173,$B81,Bitacora_Iteraciones!$H$4:$H$173,$C81,Bitacora_Iteraciones!$N$4:$N$173,"Sí")&gt;0,"Sí",IF(COUNTIFS(Bitacora_Iteraciones!$G$4:$G$173,$A81,Bitacora_Iteraciones!$E$4:$E$173,$B81,Bitacora_Iteraciones!$H$4:$H$173,$C81)=0,"","No"))</f>
        <v/>
      </c>
      <c r="I81" s="21">
        <f>SUMIFS(Bitacora_Iteraciones!$O$4:$O$173,Bitacora_Iteraciones!$G$4:$G$173,$A81,Bitacora_Iteraciones!$E$4:$E$173,$B81,Bitacora_Iteraciones!$H$4:$H$173,$C81)</f>
        <v>0</v>
      </c>
    </row>
    <row r="82" spans="1:9" ht="15.75" customHeight="1" x14ac:dyDescent="0.25">
      <c r="A82" s="20" t="s">
        <v>147</v>
      </c>
      <c r="B82" s="20" t="s">
        <v>173</v>
      </c>
      <c r="C82" s="20">
        <v>1</v>
      </c>
      <c r="D82" s="21">
        <f>COUNTIFS(Bitacora_Iteraciones!$G$4:$G$173,$A82,Bitacora_Iteraciones!$E$4:$E$173,$B82,Bitacora_Iteraciones!$H$4:$H$173,$C82)</f>
        <v>0</v>
      </c>
      <c r="E82" s="21" t="str">
        <f>IFERROR(IF(INDEX(Bitacora_Iteraciones!$L$4:$L$173,MATCH($A82&amp;"|"&amp;$B82&amp;"|"&amp;$C82&amp;"|"&amp;1,Bitacora_Iteraciones!$R$4:$R$173,0))="Pasa","Sí","No"),"")</f>
        <v/>
      </c>
      <c r="F82" s="21" t="str">
        <f>IFERROR(IF(INDEX(Bitacora_Iteraciones!$L$4:$L$173,MATCH($A82&amp;"|"&amp;$B82&amp;"|"&amp;$C82&amp;"|"&amp;_xlfn.MAXIFS(Bitacora_Iteraciones!$I$4:$I$173,Bitacora_Iteraciones!$G$4:$G$173,$A82,Bitacora_Iteraciones!$E$4:$E$173,$B82,Bitacora_Iteraciones!$H$4:$H$173,$C82),Bitacora_Iteraciones!$R$4:$R$173,0))="Pasa","Sí","No"),"")</f>
        <v/>
      </c>
      <c r="G82" s="21" t="str">
        <f>IF(COUNTIFS(Bitacora_Iteraciones!$G$4:$G$173,$A82,Bitacora_Iteraciones!$E$4:$E$173,$B82,Bitacora_Iteraciones!$H$4:$H$173,$C82,Bitacora_Iteraciones!$M$4:$M$173,"Falla")&gt;0,"Sí",IF(COUNTIFS(Bitacora_Iteraciones!$G$4:$G$173,$A82,Bitacora_Iteraciones!$E$4:$E$173,$B82,Bitacora_Iteraciones!$H$4:$H$173,$C82)=0,"","No"))</f>
        <v/>
      </c>
      <c r="H82" s="21" t="str">
        <f>IF(COUNTIFS(Bitacora_Iteraciones!$G$4:$G$173,$A82,Bitacora_Iteraciones!$E$4:$E$173,$B82,Bitacora_Iteraciones!$H$4:$H$173,$C82,Bitacora_Iteraciones!$N$4:$N$173,"Sí")&gt;0,"Sí",IF(COUNTIFS(Bitacora_Iteraciones!$G$4:$G$173,$A82,Bitacora_Iteraciones!$E$4:$E$173,$B82,Bitacora_Iteraciones!$H$4:$H$173,$C82)=0,"","No"))</f>
        <v/>
      </c>
      <c r="I82" s="21">
        <f>SUMIFS(Bitacora_Iteraciones!$O$4:$O$173,Bitacora_Iteraciones!$G$4:$G$173,$A82,Bitacora_Iteraciones!$E$4:$E$173,$B82,Bitacora_Iteraciones!$H$4:$H$173,$C82)</f>
        <v>0</v>
      </c>
    </row>
    <row r="83" spans="1:9" ht="15.75" customHeight="1" x14ac:dyDescent="0.25">
      <c r="A83" s="20" t="s">
        <v>147</v>
      </c>
      <c r="B83" s="20" t="s">
        <v>173</v>
      </c>
      <c r="C83" s="20">
        <v>2</v>
      </c>
      <c r="D83" s="21">
        <f>COUNTIFS(Bitacora_Iteraciones!$G$4:$G$173,$A83,Bitacora_Iteraciones!$E$4:$E$173,$B83,Bitacora_Iteraciones!$H$4:$H$173,$C83)</f>
        <v>0</v>
      </c>
      <c r="E83" s="21" t="str">
        <f>IFERROR(IF(INDEX(Bitacora_Iteraciones!$L$4:$L$173,MATCH($A83&amp;"|"&amp;$B83&amp;"|"&amp;$C83&amp;"|"&amp;1,Bitacora_Iteraciones!$R$4:$R$173,0))="Pasa","Sí","No"),"")</f>
        <v/>
      </c>
      <c r="F83" s="21" t="str">
        <f>IFERROR(IF(INDEX(Bitacora_Iteraciones!$L$4:$L$173,MATCH($A83&amp;"|"&amp;$B83&amp;"|"&amp;$C83&amp;"|"&amp;_xlfn.MAXIFS(Bitacora_Iteraciones!$I$4:$I$173,Bitacora_Iteraciones!$G$4:$G$173,$A83,Bitacora_Iteraciones!$E$4:$E$173,$B83,Bitacora_Iteraciones!$H$4:$H$173,$C83),Bitacora_Iteraciones!$R$4:$R$173,0))="Pasa","Sí","No"),"")</f>
        <v/>
      </c>
      <c r="G83" s="21" t="str">
        <f>IF(COUNTIFS(Bitacora_Iteraciones!$G$4:$G$173,$A83,Bitacora_Iteraciones!$E$4:$E$173,$B83,Bitacora_Iteraciones!$H$4:$H$173,$C83,Bitacora_Iteraciones!$M$4:$M$173,"Falla")&gt;0,"Sí",IF(COUNTIFS(Bitacora_Iteraciones!$G$4:$G$173,$A83,Bitacora_Iteraciones!$E$4:$E$173,$B83,Bitacora_Iteraciones!$H$4:$H$173,$C83)=0,"","No"))</f>
        <v/>
      </c>
      <c r="H83" s="21" t="str">
        <f>IF(COUNTIFS(Bitacora_Iteraciones!$G$4:$G$173,$A83,Bitacora_Iteraciones!$E$4:$E$173,$B83,Bitacora_Iteraciones!$H$4:$H$173,$C83,Bitacora_Iteraciones!$N$4:$N$173,"Sí")&gt;0,"Sí",IF(COUNTIFS(Bitacora_Iteraciones!$G$4:$G$173,$A83,Bitacora_Iteraciones!$E$4:$E$173,$B83,Bitacora_Iteraciones!$H$4:$H$173,$C83)=0,"","No"))</f>
        <v/>
      </c>
      <c r="I83" s="21">
        <f>SUMIFS(Bitacora_Iteraciones!$O$4:$O$173,Bitacora_Iteraciones!$G$4:$G$173,$A83,Bitacora_Iteraciones!$E$4:$E$173,$B83,Bitacora_Iteraciones!$H$4:$H$173,$C83)</f>
        <v>0</v>
      </c>
    </row>
    <row r="84" spans="1:9" ht="15.75" customHeight="1" x14ac:dyDescent="0.25">
      <c r="A84" s="20" t="s">
        <v>147</v>
      </c>
      <c r="B84" s="20" t="s">
        <v>173</v>
      </c>
      <c r="C84" s="20">
        <v>3</v>
      </c>
      <c r="D84" s="21">
        <f>COUNTIFS(Bitacora_Iteraciones!$G$4:$G$173,$A84,Bitacora_Iteraciones!$E$4:$E$173,$B84,Bitacora_Iteraciones!$H$4:$H$173,$C84)</f>
        <v>0</v>
      </c>
      <c r="E84" s="21" t="str">
        <f>IFERROR(IF(INDEX(Bitacora_Iteraciones!$L$4:$L$173,MATCH($A84&amp;"|"&amp;$B84&amp;"|"&amp;$C84&amp;"|"&amp;1,Bitacora_Iteraciones!$R$4:$R$173,0))="Pasa","Sí","No"),"")</f>
        <v/>
      </c>
      <c r="F84" s="21" t="str">
        <f>IFERROR(IF(INDEX(Bitacora_Iteraciones!$L$4:$L$173,MATCH($A84&amp;"|"&amp;$B84&amp;"|"&amp;$C84&amp;"|"&amp;_xlfn.MAXIFS(Bitacora_Iteraciones!$I$4:$I$173,Bitacora_Iteraciones!$G$4:$G$173,$A84,Bitacora_Iteraciones!$E$4:$E$173,$B84,Bitacora_Iteraciones!$H$4:$H$173,$C84),Bitacora_Iteraciones!$R$4:$R$173,0))="Pasa","Sí","No"),"")</f>
        <v/>
      </c>
      <c r="G84" s="21" t="str">
        <f>IF(COUNTIFS(Bitacora_Iteraciones!$G$4:$G$173,$A84,Bitacora_Iteraciones!$E$4:$E$173,$B84,Bitacora_Iteraciones!$H$4:$H$173,$C84,Bitacora_Iteraciones!$M$4:$M$173,"Falla")&gt;0,"Sí",IF(COUNTIFS(Bitacora_Iteraciones!$G$4:$G$173,$A84,Bitacora_Iteraciones!$E$4:$E$173,$B84,Bitacora_Iteraciones!$H$4:$H$173,$C84)=0,"","No"))</f>
        <v/>
      </c>
      <c r="H84" s="21" t="str">
        <f>IF(COUNTIFS(Bitacora_Iteraciones!$G$4:$G$173,$A84,Bitacora_Iteraciones!$E$4:$E$173,$B84,Bitacora_Iteraciones!$H$4:$H$173,$C84,Bitacora_Iteraciones!$N$4:$N$173,"Sí")&gt;0,"Sí",IF(COUNTIFS(Bitacora_Iteraciones!$G$4:$G$173,$A84,Bitacora_Iteraciones!$E$4:$E$173,$B84,Bitacora_Iteraciones!$H$4:$H$173,$C84)=0,"","No"))</f>
        <v/>
      </c>
      <c r="I84" s="21">
        <f>SUMIFS(Bitacora_Iteraciones!$O$4:$O$173,Bitacora_Iteraciones!$G$4:$G$173,$A84,Bitacora_Iteraciones!$E$4:$E$173,$B84,Bitacora_Iteraciones!$H$4:$H$173,$C84)</f>
        <v>0</v>
      </c>
    </row>
    <row r="85" spans="1:9" ht="15.75" customHeight="1" x14ac:dyDescent="0.25">
      <c r="A85" s="20" t="s">
        <v>147</v>
      </c>
      <c r="B85" s="20" t="s">
        <v>188</v>
      </c>
      <c r="C85" s="20">
        <v>1</v>
      </c>
      <c r="D85" s="21">
        <f>COUNTIFS(Bitacora_Iteraciones!$G$4:$G$173,$A85,Bitacora_Iteraciones!$E$4:$E$173,$B85,Bitacora_Iteraciones!$H$4:$H$173,$C85)</f>
        <v>0</v>
      </c>
      <c r="E85" s="21" t="str">
        <f>IFERROR(IF(INDEX(Bitacora_Iteraciones!$L$4:$L$173,MATCH($A85&amp;"|"&amp;$B85&amp;"|"&amp;$C85&amp;"|"&amp;1,Bitacora_Iteraciones!$R$4:$R$173,0))="Pasa","Sí","No"),"")</f>
        <v/>
      </c>
      <c r="F85" s="21" t="str">
        <f>IFERROR(IF(INDEX(Bitacora_Iteraciones!$L$4:$L$173,MATCH($A85&amp;"|"&amp;$B85&amp;"|"&amp;$C85&amp;"|"&amp;_xlfn.MAXIFS(Bitacora_Iteraciones!$I$4:$I$173,Bitacora_Iteraciones!$G$4:$G$173,$A85,Bitacora_Iteraciones!$E$4:$E$173,$B85,Bitacora_Iteraciones!$H$4:$H$173,$C85),Bitacora_Iteraciones!$R$4:$R$173,0))="Pasa","Sí","No"),"")</f>
        <v/>
      </c>
      <c r="G85" s="21" t="str">
        <f>IF(COUNTIFS(Bitacora_Iteraciones!$G$4:$G$173,$A85,Bitacora_Iteraciones!$E$4:$E$173,$B85,Bitacora_Iteraciones!$H$4:$H$173,$C85,Bitacora_Iteraciones!$M$4:$M$173,"Falla")&gt;0,"Sí",IF(COUNTIFS(Bitacora_Iteraciones!$G$4:$G$173,$A85,Bitacora_Iteraciones!$E$4:$E$173,$B85,Bitacora_Iteraciones!$H$4:$H$173,$C85)=0,"","No"))</f>
        <v/>
      </c>
      <c r="H85" s="21" t="str">
        <f>IF(COUNTIFS(Bitacora_Iteraciones!$G$4:$G$173,$A85,Bitacora_Iteraciones!$E$4:$E$173,$B85,Bitacora_Iteraciones!$H$4:$H$173,$C85,Bitacora_Iteraciones!$N$4:$N$173,"Sí")&gt;0,"Sí",IF(COUNTIFS(Bitacora_Iteraciones!$G$4:$G$173,$A85,Bitacora_Iteraciones!$E$4:$E$173,$B85,Bitacora_Iteraciones!$H$4:$H$173,$C85)=0,"","No"))</f>
        <v/>
      </c>
      <c r="I85" s="21">
        <f>SUMIFS(Bitacora_Iteraciones!$O$4:$O$173,Bitacora_Iteraciones!$G$4:$G$173,$A85,Bitacora_Iteraciones!$E$4:$E$173,$B85,Bitacora_Iteraciones!$H$4:$H$173,$C85)</f>
        <v>0</v>
      </c>
    </row>
    <row r="86" spans="1:9" ht="15.75" customHeight="1" x14ac:dyDescent="0.25">
      <c r="A86" s="20" t="s">
        <v>147</v>
      </c>
      <c r="B86" s="20" t="s">
        <v>188</v>
      </c>
      <c r="C86" s="20">
        <v>2</v>
      </c>
      <c r="D86" s="21">
        <f>COUNTIFS(Bitacora_Iteraciones!$G$4:$G$173,$A86,Bitacora_Iteraciones!$E$4:$E$173,$B86,Bitacora_Iteraciones!$H$4:$H$173,$C86)</f>
        <v>0</v>
      </c>
      <c r="E86" s="21" t="str">
        <f>IFERROR(IF(INDEX(Bitacora_Iteraciones!$L$4:$L$173,MATCH($A86&amp;"|"&amp;$B86&amp;"|"&amp;$C86&amp;"|"&amp;1,Bitacora_Iteraciones!$R$4:$R$173,0))="Pasa","Sí","No"),"")</f>
        <v/>
      </c>
      <c r="F86" s="21" t="str">
        <f>IFERROR(IF(INDEX(Bitacora_Iteraciones!$L$4:$L$173,MATCH($A86&amp;"|"&amp;$B86&amp;"|"&amp;$C86&amp;"|"&amp;_xlfn.MAXIFS(Bitacora_Iteraciones!$I$4:$I$173,Bitacora_Iteraciones!$G$4:$G$173,$A86,Bitacora_Iteraciones!$E$4:$E$173,$B86,Bitacora_Iteraciones!$H$4:$H$173,$C86),Bitacora_Iteraciones!$R$4:$R$173,0))="Pasa","Sí","No"),"")</f>
        <v/>
      </c>
      <c r="G86" s="21" t="str">
        <f>IF(COUNTIFS(Bitacora_Iteraciones!$G$4:$G$173,$A86,Bitacora_Iteraciones!$E$4:$E$173,$B86,Bitacora_Iteraciones!$H$4:$H$173,$C86,Bitacora_Iteraciones!$M$4:$M$173,"Falla")&gt;0,"Sí",IF(COUNTIFS(Bitacora_Iteraciones!$G$4:$G$173,$A86,Bitacora_Iteraciones!$E$4:$E$173,$B86,Bitacora_Iteraciones!$H$4:$H$173,$C86)=0,"","No"))</f>
        <v/>
      </c>
      <c r="H86" s="21" t="str">
        <f>IF(COUNTIFS(Bitacora_Iteraciones!$G$4:$G$173,$A86,Bitacora_Iteraciones!$E$4:$E$173,$B86,Bitacora_Iteraciones!$H$4:$H$173,$C86,Bitacora_Iteraciones!$N$4:$N$173,"Sí")&gt;0,"Sí",IF(COUNTIFS(Bitacora_Iteraciones!$G$4:$G$173,$A86,Bitacora_Iteraciones!$E$4:$E$173,$B86,Bitacora_Iteraciones!$H$4:$H$173,$C86)=0,"","No"))</f>
        <v/>
      </c>
      <c r="I86" s="21">
        <f>SUMIFS(Bitacora_Iteraciones!$O$4:$O$173,Bitacora_Iteraciones!$G$4:$G$173,$A86,Bitacora_Iteraciones!$E$4:$E$173,$B86,Bitacora_Iteraciones!$H$4:$H$173,$C86)</f>
        <v>0</v>
      </c>
    </row>
    <row r="87" spans="1:9" ht="15.75" customHeight="1" x14ac:dyDescent="0.25">
      <c r="A87" s="20" t="s">
        <v>147</v>
      </c>
      <c r="B87" s="20" t="s">
        <v>188</v>
      </c>
      <c r="C87" s="20">
        <v>3</v>
      </c>
      <c r="D87" s="21">
        <f>COUNTIFS(Bitacora_Iteraciones!$G$4:$G$173,$A87,Bitacora_Iteraciones!$E$4:$E$173,$B87,Bitacora_Iteraciones!$H$4:$H$173,$C87)</f>
        <v>0</v>
      </c>
      <c r="E87" s="21" t="str">
        <f>IFERROR(IF(INDEX(Bitacora_Iteraciones!$L$4:$L$173,MATCH($A87&amp;"|"&amp;$B87&amp;"|"&amp;$C87&amp;"|"&amp;1,Bitacora_Iteraciones!$R$4:$R$173,0))="Pasa","Sí","No"),"")</f>
        <v/>
      </c>
      <c r="F87" s="21" t="str">
        <f>IFERROR(IF(INDEX(Bitacora_Iteraciones!$L$4:$L$173,MATCH($A87&amp;"|"&amp;$B87&amp;"|"&amp;$C87&amp;"|"&amp;_xlfn.MAXIFS(Bitacora_Iteraciones!$I$4:$I$173,Bitacora_Iteraciones!$G$4:$G$173,$A87,Bitacora_Iteraciones!$E$4:$E$173,$B87,Bitacora_Iteraciones!$H$4:$H$173,$C87),Bitacora_Iteraciones!$R$4:$R$173,0))="Pasa","Sí","No"),"")</f>
        <v/>
      </c>
      <c r="G87" s="21" t="str">
        <f>IF(COUNTIFS(Bitacora_Iteraciones!$G$4:$G$173,$A87,Bitacora_Iteraciones!$E$4:$E$173,$B87,Bitacora_Iteraciones!$H$4:$H$173,$C87,Bitacora_Iteraciones!$M$4:$M$173,"Falla")&gt;0,"Sí",IF(COUNTIFS(Bitacora_Iteraciones!$G$4:$G$173,$A87,Bitacora_Iteraciones!$E$4:$E$173,$B87,Bitacora_Iteraciones!$H$4:$H$173,$C87)=0,"","No"))</f>
        <v/>
      </c>
      <c r="H87" s="21" t="str">
        <f>IF(COUNTIFS(Bitacora_Iteraciones!$G$4:$G$173,$A87,Bitacora_Iteraciones!$E$4:$E$173,$B87,Bitacora_Iteraciones!$H$4:$H$173,$C87,Bitacora_Iteraciones!$N$4:$N$173,"Sí")&gt;0,"Sí",IF(COUNTIFS(Bitacora_Iteraciones!$G$4:$G$173,$A87,Bitacora_Iteraciones!$E$4:$E$173,$B87,Bitacora_Iteraciones!$H$4:$H$173,$C87)=0,"","No"))</f>
        <v/>
      </c>
      <c r="I87" s="21">
        <f>SUMIFS(Bitacora_Iteraciones!$O$4:$O$173,Bitacora_Iteraciones!$G$4:$G$173,$A87,Bitacora_Iteraciones!$E$4:$E$173,$B87,Bitacora_Iteraciones!$H$4:$H$173,$C87)</f>
        <v>0</v>
      </c>
    </row>
    <row r="89" spans="1:9" ht="30" customHeight="1" x14ac:dyDescent="0.25">
      <c r="A89" s="36" t="s">
        <v>189</v>
      </c>
      <c r="B89" s="36"/>
      <c r="C89" s="36"/>
      <c r="D89" s="36"/>
      <c r="E89" s="36"/>
      <c r="F89" s="36"/>
      <c r="G89" s="36"/>
      <c r="H89" s="36"/>
      <c r="I89" s="36"/>
    </row>
  </sheetData>
  <mergeCells count="2">
    <mergeCell ref="A1:I1"/>
    <mergeCell ref="A89:I89"/>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pageSetUpPr fitToPage="1"/>
  </sheetPr>
  <dimension ref="A1:G7"/>
  <sheetViews>
    <sheetView showGridLines="0" zoomScaleNormal="100" workbookViewId="0">
      <selection sqref="A1:G1"/>
    </sheetView>
  </sheetViews>
  <sheetFormatPr baseColWidth="10" defaultColWidth="8.7109375" defaultRowHeight="15" x14ac:dyDescent="0.25"/>
  <cols>
    <col min="1" max="1" width="18" customWidth="1"/>
    <col min="2" max="2" width="34" customWidth="1"/>
    <col min="3" max="4" width="16" customWidth="1"/>
    <col min="5" max="6" width="20" customWidth="1"/>
    <col min="7" max="7" width="30" customWidth="1"/>
  </cols>
  <sheetData>
    <row r="1" spans="1:7" ht="25.5" customHeight="1" x14ac:dyDescent="0.25">
      <c r="A1" s="32" t="s">
        <v>190</v>
      </c>
      <c r="B1" s="32"/>
      <c r="C1" s="32"/>
      <c r="D1" s="32"/>
      <c r="E1" s="32"/>
      <c r="F1" s="32"/>
      <c r="G1" s="32"/>
    </row>
    <row r="3" spans="1:7" ht="30" customHeight="1" x14ac:dyDescent="0.25">
      <c r="A3" s="7" t="s">
        <v>157</v>
      </c>
      <c r="B3" s="7" t="s">
        <v>191</v>
      </c>
      <c r="C3" s="7" t="s">
        <v>192</v>
      </c>
      <c r="D3" s="7" t="s">
        <v>193</v>
      </c>
      <c r="E3" s="7" t="s">
        <v>194</v>
      </c>
      <c r="F3" s="7" t="s">
        <v>195</v>
      </c>
      <c r="G3" s="7" t="s">
        <v>196</v>
      </c>
    </row>
    <row r="4" spans="1:7" ht="42" customHeight="1" x14ac:dyDescent="0.25">
      <c r="A4" s="8" t="s">
        <v>173</v>
      </c>
      <c r="B4" s="8" t="s">
        <v>197</v>
      </c>
      <c r="C4" s="22">
        <v>0</v>
      </c>
      <c r="D4" s="20" t="s">
        <v>198</v>
      </c>
      <c r="E4" s="9"/>
      <c r="F4" s="9"/>
      <c r="G4" s="23">
        <f>C4</f>
        <v>0</v>
      </c>
    </row>
    <row r="5" spans="1:7" ht="42" customHeight="1" x14ac:dyDescent="0.25">
      <c r="A5" s="8" t="s">
        <v>188</v>
      </c>
      <c r="B5" s="8" t="s">
        <v>199</v>
      </c>
      <c r="C5" s="24"/>
      <c r="D5" s="9" t="s">
        <v>198</v>
      </c>
      <c r="E5" s="9"/>
      <c r="F5" s="9"/>
      <c r="G5" s="23" t="str">
        <f>IFERROR(C5/E5*F5,"")</f>
        <v/>
      </c>
    </row>
    <row r="7" spans="1:7" ht="39.75" customHeight="1" x14ac:dyDescent="0.25">
      <c r="A7" s="36" t="s">
        <v>200</v>
      </c>
      <c r="B7" s="36"/>
      <c r="C7" s="36"/>
      <c r="D7" s="36"/>
      <c r="E7" s="36"/>
      <c r="F7" s="36"/>
      <c r="G7" s="36"/>
    </row>
  </sheetData>
  <mergeCells count="2">
    <mergeCell ref="A1:G1"/>
    <mergeCell ref="A7:G7"/>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pageSetUpPr fitToPage="1"/>
  </sheetPr>
  <dimension ref="A1:D11"/>
  <sheetViews>
    <sheetView showGridLines="0" zoomScaleNormal="100" workbookViewId="0">
      <selection activeCell="C16" sqref="C16"/>
    </sheetView>
  </sheetViews>
  <sheetFormatPr baseColWidth="10" defaultColWidth="8.7109375" defaultRowHeight="15" x14ac:dyDescent="0.25"/>
  <cols>
    <col min="1" max="1" width="6" customWidth="1"/>
    <col min="2" max="2" width="34" customWidth="1"/>
    <col min="3" max="3" width="60" customWidth="1"/>
    <col min="4" max="4" width="14" customWidth="1"/>
  </cols>
  <sheetData>
    <row r="1" spans="1:4" ht="25.5" customHeight="1" x14ac:dyDescent="0.25">
      <c r="A1" s="32" t="s">
        <v>201</v>
      </c>
      <c r="B1" s="32"/>
      <c r="C1" s="32"/>
      <c r="D1" s="32"/>
    </row>
    <row r="3" spans="1:4" ht="30" customHeight="1" x14ac:dyDescent="0.25">
      <c r="A3" s="7" t="s">
        <v>37</v>
      </c>
      <c r="B3" s="7" t="s">
        <v>202</v>
      </c>
      <c r="C3" s="7" t="s">
        <v>203</v>
      </c>
      <c r="D3" s="7" t="s">
        <v>204</v>
      </c>
    </row>
    <row r="4" spans="1:4" ht="31.5" customHeight="1" x14ac:dyDescent="0.25">
      <c r="A4" s="20">
        <v>1</v>
      </c>
      <c r="B4" s="8" t="s">
        <v>205</v>
      </c>
      <c r="C4" s="8" t="s">
        <v>206</v>
      </c>
      <c r="D4" s="21">
        <f>COUNTIF(Bitacora_Iteraciones!$P$4:$P$173,B4)</f>
        <v>0</v>
      </c>
    </row>
    <row r="5" spans="1:4" ht="31.5" customHeight="1" x14ac:dyDescent="0.25">
      <c r="A5" s="20">
        <v>2</v>
      </c>
      <c r="B5" s="8" t="s">
        <v>207</v>
      </c>
      <c r="C5" s="8" t="s">
        <v>208</v>
      </c>
      <c r="D5" s="21">
        <f>COUNTIF(Bitacora_Iteraciones!$P$4:$P$173,B5)</f>
        <v>0</v>
      </c>
    </row>
    <row r="6" spans="1:4" ht="31.5" customHeight="1" x14ac:dyDescent="0.25">
      <c r="A6" s="20">
        <v>3</v>
      </c>
      <c r="B6" s="8" t="s">
        <v>209</v>
      </c>
      <c r="C6" s="8" t="s">
        <v>210</v>
      </c>
      <c r="D6" s="21">
        <f>COUNTIF(Bitacora_Iteraciones!$P$4:$P$173,B6)</f>
        <v>0</v>
      </c>
    </row>
    <row r="7" spans="1:4" ht="31.5" customHeight="1" x14ac:dyDescent="0.25">
      <c r="A7" s="20">
        <v>4</v>
      </c>
      <c r="B7" s="8" t="s">
        <v>211</v>
      </c>
      <c r="C7" s="8" t="s">
        <v>212</v>
      </c>
      <c r="D7" s="21">
        <f>COUNTIF(Bitacora_Iteraciones!$P$4:$P$173,B7)</f>
        <v>0</v>
      </c>
    </row>
    <row r="8" spans="1:4" ht="31.5" customHeight="1" x14ac:dyDescent="0.25">
      <c r="A8" s="20">
        <v>5</v>
      </c>
      <c r="B8" s="8" t="s">
        <v>213</v>
      </c>
      <c r="C8" s="8" t="s">
        <v>214</v>
      </c>
      <c r="D8" s="21">
        <f>COUNTIF(Bitacora_Iteraciones!$P$4:$P$173,B8)</f>
        <v>0</v>
      </c>
    </row>
    <row r="9" spans="1:4" ht="31.5" customHeight="1" x14ac:dyDescent="0.25">
      <c r="A9" s="20">
        <v>6</v>
      </c>
      <c r="B9" s="8" t="s">
        <v>215</v>
      </c>
      <c r="C9" s="8" t="s">
        <v>216</v>
      </c>
      <c r="D9" s="21">
        <f>COUNTIF(Bitacora_Iteraciones!$P$4:$P$173,B9)</f>
        <v>0</v>
      </c>
    </row>
    <row r="10" spans="1:4" ht="31.5" customHeight="1" x14ac:dyDescent="0.25">
      <c r="A10" s="20">
        <v>7</v>
      </c>
      <c r="B10" s="8" t="s">
        <v>217</v>
      </c>
      <c r="C10" s="8" t="s">
        <v>218</v>
      </c>
      <c r="D10" s="21">
        <f>COUNTIF(Bitacora_Iteraciones!$P$4:$P$173,B10)</f>
        <v>0</v>
      </c>
    </row>
    <row r="11" spans="1:4" ht="31.5" customHeight="1" x14ac:dyDescent="0.25">
      <c r="A11" s="20">
        <v>8</v>
      </c>
      <c r="B11" s="8" t="s">
        <v>219</v>
      </c>
      <c r="C11" s="8" t="s">
        <v>220</v>
      </c>
      <c r="D11" s="21">
        <f>COUNTIF(Bitacora_Iteraciones!$P$4:$P$173,B11)</f>
        <v>0</v>
      </c>
    </row>
  </sheetData>
  <mergeCells count="1">
    <mergeCell ref="A1:D1"/>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pageSetUpPr fitToPage="1"/>
  </sheetPr>
  <dimension ref="A1:D17"/>
  <sheetViews>
    <sheetView showGridLines="0" zoomScaleNormal="100" workbookViewId="0">
      <selection activeCell="I9" sqref="I9"/>
    </sheetView>
  </sheetViews>
  <sheetFormatPr baseColWidth="10" defaultColWidth="8.7109375" defaultRowHeight="15" x14ac:dyDescent="0.25"/>
  <cols>
    <col min="1" max="1" width="42" customWidth="1"/>
    <col min="2" max="3" width="20" customWidth="1"/>
    <col min="4" max="4" width="24" customWidth="1"/>
  </cols>
  <sheetData>
    <row r="1" spans="1:4" ht="25.5" customHeight="1" x14ac:dyDescent="0.25">
      <c r="A1" s="32" t="s">
        <v>221</v>
      </c>
      <c r="B1" s="32"/>
      <c r="C1" s="32"/>
      <c r="D1" s="32"/>
    </row>
    <row r="3" spans="1:4" x14ac:dyDescent="0.25">
      <c r="A3" s="25" t="s">
        <v>222</v>
      </c>
      <c r="B3" s="25" t="s">
        <v>173</v>
      </c>
      <c r="C3" s="25" t="s">
        <v>188</v>
      </c>
      <c r="D3" s="25" t="s">
        <v>95</v>
      </c>
    </row>
    <row r="4" spans="1:4" ht="30" customHeight="1" x14ac:dyDescent="0.25">
      <c r="A4" s="26" t="s">
        <v>223</v>
      </c>
      <c r="B4" s="27">
        <f>IFERROR(COUNTIFS(Resultados_Finales!$B$4:$B$87,"OpenCode",Resultados_Finales!$F$4:$F$87,"Sí")/COUNTIFS(Resultados_Finales!$B$4:$B$87,"OpenCode",Resultados_Finales!$F$4:$F$87,"&lt;&gt;"),"")</f>
        <v>2.3809523809523808E-2</v>
      </c>
      <c r="C4" s="27">
        <f>IFERROR(COUNTIFS(Resultados_Finales!$B$4:$B$87,"Claude Code",Resultados_Finales!$F$4:$F$87,"Sí")/COUNTIFS(Resultados_Finales!$B$4:$B$87,"Claude Code",Resultados_Finales!$F$4:$F$87,"&lt;&gt;"),"")</f>
        <v>0</v>
      </c>
      <c r="D4" s="11"/>
    </row>
    <row r="5" spans="1:4" ht="30" customHeight="1" x14ac:dyDescent="0.25">
      <c r="A5" s="26" t="s">
        <v>224</v>
      </c>
      <c r="B5" s="27">
        <f>IFERROR(COUNTIFS(Resultados_Finales!$B$4:$B$87,"OpenCode",Resultados_Finales!$E$4:$E$87,"Sí")/COUNTIFS(Resultados_Finales!$B$4:$B$87,"OpenCode",Resultados_Finales!$E$4:$E$87,"&lt;&gt;"),"")</f>
        <v>2.3809523809523808E-2</v>
      </c>
      <c r="C5" s="27">
        <f>IFERROR(COUNTIFS(Resultados_Finales!$B$4:$B$87,"Claude Code",Resultados_Finales!$E$4:$E$87,"Sí")/COUNTIFS(Resultados_Finales!$B$4:$B$87,"Claude Code",Resultados_Finales!$E$4:$E$87,"&lt;&gt;"),"")</f>
        <v>0</v>
      </c>
      <c r="D5" s="11"/>
    </row>
    <row r="6" spans="1:4" ht="30" customHeight="1" x14ac:dyDescent="0.25">
      <c r="A6" s="26" t="s">
        <v>225</v>
      </c>
      <c r="B6" s="28">
        <f>COUNTIFS(Resultados_Finales!$B$4:$B$87,"OpenCode",Resultados_Finales!$G$4:$G$87,"Sí")</f>
        <v>0</v>
      </c>
      <c r="C6" s="28">
        <f>COUNTIFS(Resultados_Finales!$B$4:$B$87,"Claude Code",Resultados_Finales!$G$4:$G$87,"Sí")</f>
        <v>0</v>
      </c>
      <c r="D6" s="11"/>
    </row>
    <row r="7" spans="1:4" ht="30" customHeight="1" x14ac:dyDescent="0.25">
      <c r="A7" s="26" t="s">
        <v>226</v>
      </c>
      <c r="B7" s="28">
        <f>COUNTIFS(Resultados_Finales!$B$4:$B$87,"OpenCode",Resultados_Finales!$H$4:$H$87,"Sí")</f>
        <v>0</v>
      </c>
      <c r="C7" s="28">
        <f>COUNTIFS(Resultados_Finales!$B$4:$B$87,"Claude Code",Resultados_Finales!$H$4:$H$87,"Sí")</f>
        <v>0</v>
      </c>
      <c r="D7" s="11"/>
    </row>
    <row r="8" spans="1:4" ht="30" customHeight="1" x14ac:dyDescent="0.25">
      <c r="A8" s="26" t="s">
        <v>227</v>
      </c>
      <c r="B8" s="29">
        <f>IFERROR(AVERAGEIFS(Resultados_Finales!$D$4:$D$87,Resultados_Finales!$B$4:$B$87,"OpenCode",Resultados_Finales!$D$4:$D$87,"&gt;0"),"")</f>
        <v>1</v>
      </c>
      <c r="C8" s="29" t="str">
        <f>IFERROR(AVERAGEIFS(Resultados_Finales!$D$4:$D$87,Resultados_Finales!$B$4:$B$87,"Claude Code",Resultados_Finales!$D$4:$D$87,"&gt;0"),"")</f>
        <v/>
      </c>
      <c r="D8" s="11"/>
    </row>
    <row r="9" spans="1:4" ht="30" customHeight="1" x14ac:dyDescent="0.25">
      <c r="A9" s="26" t="s">
        <v>228</v>
      </c>
      <c r="B9" s="29">
        <f>SUMIFS(Resultados_Finales!$I$4:$I$87,Resultados_Finales!$B$4:$B$87,"OpenCode")/60</f>
        <v>0.36666666666666664</v>
      </c>
      <c r="C9" s="29">
        <f>SUMIFS(Resultados_Finales!$I$4:$I$87,Resultados_Finales!$B$4:$B$87,"Claude Code")/60</f>
        <v>0</v>
      </c>
      <c r="D9" s="11"/>
    </row>
    <row r="10" spans="1:4" ht="30" customHeight="1" x14ac:dyDescent="0.25">
      <c r="A10" s="26" t="s">
        <v>229</v>
      </c>
      <c r="B10" s="28">
        <f>COUNTIFS(Resultados_Finales!$B$4:$B$87,"OpenCode",Resultados_Finales!$F$4:$F$87,"Sí")</f>
        <v>1</v>
      </c>
      <c r="C10" s="28">
        <f>COUNTIFS(Resultados_Finales!$B$4:$B$87,"Claude Code",Resultados_Finales!$F$4:$F$87,"Sí")</f>
        <v>0</v>
      </c>
      <c r="D10" s="11"/>
    </row>
    <row r="11" spans="1:4" ht="30" customHeight="1" x14ac:dyDescent="0.25">
      <c r="A11" s="26" t="s">
        <v>230</v>
      </c>
      <c r="B11" s="30">
        <f>Costos!$G$4</f>
        <v>0</v>
      </c>
      <c r="C11" s="30" t="str">
        <f>Costos!$G$5</f>
        <v/>
      </c>
      <c r="D11" s="11"/>
    </row>
    <row r="12" spans="1:4" ht="30" customHeight="1" x14ac:dyDescent="0.25">
      <c r="A12" s="26" t="s">
        <v>231</v>
      </c>
      <c r="B12" s="30">
        <f>IFERROR(B11/B10,"")</f>
        <v>0</v>
      </c>
      <c r="C12" s="30" t="str">
        <f>IFERROR(C11/C10,"")</f>
        <v/>
      </c>
      <c r="D12" s="11"/>
    </row>
    <row r="14" spans="1:4" ht="21.75" customHeight="1" x14ac:dyDescent="0.25">
      <c r="A14" s="31" t="s">
        <v>232</v>
      </c>
      <c r="B14" s="31"/>
      <c r="C14" s="31"/>
      <c r="D14" s="31"/>
    </row>
    <row r="15" spans="1:4" ht="30" customHeight="1" x14ac:dyDescent="0.25">
      <c r="A15" s="26" t="s">
        <v>233</v>
      </c>
      <c r="B15" s="37">
        <v>0.1</v>
      </c>
      <c r="C15" s="37"/>
      <c r="D15" s="11" t="s">
        <v>234</v>
      </c>
    </row>
    <row r="16" spans="1:4" ht="25.5" customHeight="1" x14ac:dyDescent="0.25">
      <c r="A16" s="26" t="s">
        <v>235</v>
      </c>
      <c r="B16" s="38">
        <f>IFERROR(ABS(B4-C4),"")</f>
        <v>2.3809523809523808E-2</v>
      </c>
      <c r="C16" s="38"/>
      <c r="D16" s="11"/>
    </row>
    <row r="17" spans="1:4" ht="25.5" customHeight="1" x14ac:dyDescent="0.25">
      <c r="A17" s="26" t="s">
        <v>236</v>
      </c>
      <c r="B17" s="39" t="str">
        <f>IFERROR(IF(B16&lt;=B15,"Sí, dentro del margen","No, fuera del margen"),"")</f>
        <v>Sí, dentro del margen</v>
      </c>
      <c r="C17" s="39"/>
      <c r="D17" s="11"/>
    </row>
  </sheetData>
  <mergeCells count="5">
    <mergeCell ref="A1:D1"/>
    <mergeCell ref="A14:D14"/>
    <mergeCell ref="B15:C15"/>
    <mergeCell ref="B16:C16"/>
    <mergeCell ref="B17:C17"/>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Instrucciones</vt:lpstr>
      <vt:lpstr>Modelo_Amenazas</vt:lpstr>
      <vt:lpstr>Matriz_Casos_Prueba</vt:lpstr>
      <vt:lpstr>Bitacora_Iteraciones</vt:lpstr>
      <vt:lpstr>Resultados_Finales</vt:lpstr>
      <vt:lpstr>Costos</vt:lpstr>
      <vt:lpstr>Clasificacion_Tipos_Fallo</vt:lpstr>
      <vt:lpstr>Resumen_Metricas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(MTRO) Alfonso Rosas Escobedo</cp:lastModifiedBy>
  <cp:revision>0</cp:revision>
  <dcterms:created xsi:type="dcterms:W3CDTF">2026-09-29T22:36:38Z</dcterms:created>
  <dcterms:modified xsi:type="dcterms:W3CDTF">2026-10-21T17:17:42Z</dcterms:modified>
  <dc:language>en-US</dc:language>
</cp:coreProperties>
</file>